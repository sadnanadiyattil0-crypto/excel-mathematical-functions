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13" documentId="8_{8DDB574E-6595-4176-81E8-7696797F6938}" xr6:coauthVersionLast="47" xr6:coauthVersionMax="47" xr10:uidLastSave="{F9749235-6BAA-4847-9E11-65E71942CE18}"/>
  <bookViews>
    <workbookView xWindow="-110" yWindow="-110" windowWidth="19420" windowHeight="10300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J2" i="1"/>
  <c r="J3" i="1"/>
  <c r="J4" i="1"/>
  <c r="J5" i="1"/>
  <c r="J6" i="1"/>
  <c r="J7" i="1"/>
  <c r="J8" i="1"/>
  <c r="J9" i="1"/>
  <c r="J10" i="1"/>
  <c r="J11" i="1"/>
  <c r="J12" i="1"/>
  <c r="J13" i="1"/>
  <c r="I2" i="1"/>
  <c r="I3" i="1"/>
  <c r="I4" i="1"/>
  <c r="I5" i="1"/>
  <c r="I6" i="1"/>
  <c r="I7" i="1"/>
  <c r="I8" i="1"/>
  <c r="I9" i="1"/>
  <c r="I10" i="1"/>
  <c r="I11" i="1"/>
  <c r="I12" i="1"/>
  <c r="I13" i="1"/>
  <c r="H2" i="1"/>
  <c r="H3" i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<sst xmlns="http://schemas.openxmlformats.org/spreadsheetml/2006/main" count="58" uniqueCount="36">
  <si>
    <t>Order_ID</t>
  </si>
  <si>
    <t>Salesperson</t>
  </si>
  <si>
    <t>Region</t>
  </si>
  <si>
    <t>Product</t>
  </si>
  <si>
    <t>Quantity</t>
  </si>
  <si>
    <t>Sales_Amount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</si>
  <si>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</si>
  <si>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</si>
  <si>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</si>
  <si>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</si>
  <si>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</si>
  <si>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</si>
  <si>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</si>
  <si>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</si>
  <si>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</si>
  <si>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</si>
  <si>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</si>
  <si>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</si>
  <si>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Anu</t>
  </si>
  <si>
    <t>Rahul</t>
  </si>
  <si>
    <t>Meera</t>
  </si>
  <si>
    <t>Arjun</t>
  </si>
  <si>
    <t>Fathima</t>
  </si>
  <si>
    <t>Nikhil</t>
  </si>
  <si>
    <t>North</t>
  </si>
  <si>
    <t>South</t>
  </si>
  <si>
    <t>East</t>
  </si>
  <si>
    <t>West</t>
  </si>
  <si>
    <t>Laptop</t>
  </si>
  <si>
    <t>Monitor</t>
  </si>
  <si>
    <t>Keyboard</t>
  </si>
  <si>
    <t>Mouse</t>
  </si>
  <si>
    <t>sale category</t>
  </si>
  <si>
    <t>qunitity catagary</t>
  </si>
  <si>
    <t>target status</t>
  </si>
  <si>
    <t>sales person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</si>
</sst>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13"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3022E-3EF3-4C11-ACAA-84E12304C692}" name="Table1" displayName="Table1" ref="A1:J13" totalsRowShown="0" headerRowDxfId="12" headerRowBorderDxfId="11" tableBorderDxfId="10">
  <autoFilter ref="A1:J13" xr:uid="{D683022E-3EF3-4C11-ACAA-84E12304C692}"/>
  <tableColumns count="10">
    <tableColumn id="1" xr3:uid="{F1149032-2ACE-43FC-8152-2EB0266EE656}" name="Order_ID" dataDxfId="9"/>
    <tableColumn id="2" xr3:uid="{9BDA861A-52B0-4A5D-A7DE-8CCA033D938D}" name="Salesperson" dataDxfId="8"/>
    <tableColumn id="3" xr3:uid="{E11E3083-4941-47CF-9F89-9DE177C3D1B6}" name="Region" dataDxfId="7"/>
    <tableColumn id="4" xr3:uid="{6D543066-B5F9-4592-A0E8-E666ACEA1489}" name="Product" dataDxfId="6"/>
    <tableColumn id="5" xr3:uid="{45FF1829-7708-4440-8C0B-663D10EF5165}" name="Quantity" dataDxfId="5"/>
    <tableColumn id="6" xr3:uid="{CF737307-3FC1-49C9-B1AD-B1A6730BAE3A}" name="Sales_Amount" dataDxfId="4"/>
    <tableColumn id="7" xr3:uid="{C8FE40E1-448A-4999-956C-FE94E702F968}" name="sale category" dataDxfId="3">
      <calculatedColumnFormula>IF(Table1[[#This Row],[Sales_Amount]]&gt;=100000,"high","low sale")</calculatedColumnFormula>
    </tableColumn>
    <tableColumn id="8" xr3:uid="{8C5E405A-1572-48FB-8F8B-C9BE8B2DC26D}" name="qunitity catagary" dataDxfId="2">
      <calculatedColumnFormula>IF(Table1[[#This Row],[Quantity]]&gt;=10,"bulk order","regular order")</calculatedColumnFormula>
    </tableColumn>
    <tableColumn id="9" xr3:uid="{B64E485F-D405-445C-8FB9-94D38BF7CA97}" name="target status" dataDxfId="1">
      <calculatedColumnFormula>IF(AND(Table1[[#This Row],[Quantity]]&gt;=5,Table1[[#This Row],[Sales_Amount]]&gt;=100000),"target achived","target not achived")</calculatedColumnFormula>
    </tableColumn>
    <tableColumn id="10" xr3:uid="{1B5DE2F1-04C6-4DFC-A5CD-539D5082556B}" name="sales person performance" dataDxfId="0">
      <calculatedColumnFormula>IF(AND(Table1[[#This Row],[Sales_Amount]]&gt;=200000,Table1[[#This Row],[Quantity]]&gt;=5),"excllent","needs improvement")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8" sqref="G18"/>
    </sheetView>
  </sheetViews>
  <sheetFormatPr defaultRowHeight="14.5" x14ac:dyDescent="0.35"/>
  <cols>
    <col min="1" max="1" width="10.54296875" customWidth="1"/>
    <col min="2" max="2" width="12.81640625" customWidth="1"/>
    <col min="4" max="4" width="9.453125" customWidth="1"/>
    <col min="5" max="5" width="10.1796875" customWidth="1"/>
    <col min="6" max="6" width="14.81640625" customWidth="1"/>
    <col min="7" max="7" width="12.7265625" customWidth="1"/>
    <col min="8" max="8" width="14.90625" customWidth="1"/>
    <col min="9" max="9" width="18.1796875" customWidth="1"/>
    <col min="10" max="10" width="29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ht="15.5" x14ac:dyDescent="0.35">
      <c r="A2" s="2" t="s">
        <v>6</v>
      </c>
      <c r="B2" s="2" t="s">
        <v>18</v>
      </c>
      <c r="C2" s="2" t="s">
        <v>24</v>
      </c>
      <c r="D2" s="2" t="s">
        <v>28</v>
      </c>
      <c r="E2" s="2">
        <v>5</v>
      </c>
      <c r="F2" s="2">
        <v>250000</v>
      </c>
      <c r="G2" s="3" t="str">
        <f>IF(Table1[[#This Row],[Sales_Amount]]&gt;=100000,"high","low sale")</f>
        <v>high</v>
      </c>
      <c r="H2" s="3" t="str">
        <f>IF(Table1[[#This Row],[Quantity]]&gt;=10,"bulk order","regular order")</f>
        <v>regular order</v>
      </c>
      <c r="I2" s="3" t="str">
        <f>IF(AND(Table1[[#This Row],[Quantity]]&gt;=5,Table1[[#This Row],[Sales_Amount]]&gt;=100000),"target achived","target not achived")</f>
        <v>target achived</v>
      </c>
      <c r="J2" s="3" t="str">
        <f>IF(AND(Table1[[#This Row],[Sales_Amount]]&gt;=200000,Table1[[#This Row],[Quantity]]&gt;=5),"excllent","needs improvement")</f>
        <v>excllent</v>
      </c>
    </row>
    <row r="3" spans="1:10" ht="15.5" x14ac:dyDescent="0.35">
      <c r="A3" s="2" t="s">
        <v>7</v>
      </c>
      <c r="B3" s="2" t="s">
        <v>19</v>
      </c>
      <c r="C3" s="2" t="s">
        <v>25</v>
      </c>
      <c r="D3" s="2" t="s">
        <v>29</v>
      </c>
      <c r="E3" s="2">
        <v>8</v>
      </c>
      <c r="F3" s="2">
        <v>120000</v>
      </c>
      <c r="G3" s="3" t="str">
        <f>IF(Table1[[#This Row],[Sales_Amount]]&gt;=100000,"high","low sale")</f>
        <v>high</v>
      </c>
      <c r="H3" s="3" t="str">
        <f>IF(Table1[[#This Row],[Quantity]]&gt;=10,"bulk order","regular order")</f>
        <v>regular order</v>
      </c>
      <c r="I3" s="3" t="str">
        <f>IF(AND(Table1[[#This Row],[Quantity]]&gt;=5,Table1[[#This Row],[Sales_Amount]]&gt;=100000),"target achived","target not achived")</f>
        <v>target achived</v>
      </c>
      <c r="J3" s="3" t="str">
        <f>IF(AND(Table1[[#This Row],[Sales_Amount]]&gt;=200000,Table1[[#This Row],[Quantity]]&gt;=5),"excllent","needs improvement")</f>
        <v>needs improvement</v>
      </c>
    </row>
    <row r="4" spans="1:10" ht="15.5" x14ac:dyDescent="0.35">
      <c r="A4" s="2" t="s">
        <v>8</v>
      </c>
      <c r="B4" s="2" t="s">
        <v>20</v>
      </c>
      <c r="C4" s="2" t="s">
        <v>26</v>
      </c>
      <c r="D4" s="2" t="s">
        <v>30</v>
      </c>
      <c r="E4" s="2">
        <v>12</v>
      </c>
      <c r="F4" s="2">
        <v>18000</v>
      </c>
      <c r="G4" s="3" t="str">
        <f>IF(Table1[[#This Row],[Sales_Amount]]&gt;=100000,"high","low sale")</f>
        <v>low sale</v>
      </c>
      <c r="H4" s="3" t="str">
        <f>IF(Table1[[#This Row],[Quantity]]&gt;=10,"bulk order","regular order")</f>
        <v>bulk order</v>
      </c>
      <c r="I4" s="3" t="str">
        <f>IF(AND(Table1[[#This Row],[Quantity]]&gt;=5,Table1[[#This Row],[Sales_Amount]]&gt;=100000),"target achived","target not achived")</f>
        <v>target not achived</v>
      </c>
      <c r="J4" s="3" t="str">
        <f>IF(AND(Table1[[#This Row],[Sales_Amount]]&gt;=200000,Table1[[#This Row],[Quantity]]&gt;=5),"excllent","needs improvement")</f>
        <v>needs improvement</v>
      </c>
    </row>
    <row r="5" spans="1:10" ht="15.5" x14ac:dyDescent="0.35">
      <c r="A5" s="2" t="s">
        <v>9</v>
      </c>
      <c r="B5" s="2" t="s">
        <v>21</v>
      </c>
      <c r="C5" s="2" t="s">
        <v>27</v>
      </c>
      <c r="D5" s="2" t="s">
        <v>28</v>
      </c>
      <c r="E5" s="2">
        <v>3</v>
      </c>
      <c r="F5" s="2">
        <v>150000</v>
      </c>
      <c r="G5" s="3" t="str">
        <f>IF(Table1[[#This Row],[Sales_Amount]]&gt;=100000,"high","low sale")</f>
        <v>high</v>
      </c>
      <c r="H5" s="3" t="str">
        <f>IF(Table1[[#This Row],[Quantity]]&gt;=10,"bulk order","regular order")</f>
        <v>regular order</v>
      </c>
      <c r="I5" s="3" t="str">
        <f>IF(AND(Table1[[#This Row],[Quantity]]&gt;=5,Table1[[#This Row],[Sales_Amount]]&gt;=100000),"target achived","target not achived")</f>
        <v>target not achived</v>
      </c>
      <c r="J5" s="3" t="str">
        <f>IF(AND(Table1[[#This Row],[Sales_Amount]]&gt;=200000,Table1[[#This Row],[Quantity]]&gt;=5),"excllent","needs improvement")</f>
        <v>needs improvement</v>
      </c>
    </row>
    <row r="6" spans="1:10" ht="15.5" x14ac:dyDescent="0.35">
      <c r="A6" s="2" t="s">
        <v>10</v>
      </c>
      <c r="B6" s="2" t="s">
        <v>22</v>
      </c>
      <c r="C6" s="2" t="s">
        <v>24</v>
      </c>
      <c r="D6" s="2" t="s">
        <v>31</v>
      </c>
      <c r="E6" s="2">
        <v>15</v>
      </c>
      <c r="F6" s="2">
        <v>22500</v>
      </c>
      <c r="G6" s="3" t="str">
        <f>IF(Table1[[#This Row],[Sales_Amount]]&gt;=100000,"high","low sale")</f>
        <v>low sale</v>
      </c>
      <c r="H6" s="3" t="str">
        <f>IF(Table1[[#This Row],[Quantity]]&gt;=10,"bulk order","regular order")</f>
        <v>bulk order</v>
      </c>
      <c r="I6" s="3" t="str">
        <f>IF(AND(Table1[[#This Row],[Quantity]]&gt;=5,Table1[[#This Row],[Sales_Amount]]&gt;=100000),"target achived","target not achived")</f>
        <v>target not achived</v>
      </c>
      <c r="J6" s="3" t="str">
        <f>IF(AND(Table1[[#This Row],[Sales_Amount]]&gt;=200000,Table1[[#This Row],[Quantity]]&gt;=5),"excllent","needs improvement")</f>
        <v>needs improvement</v>
      </c>
    </row>
    <row r="7" spans="1:10" ht="15.5" x14ac:dyDescent="0.35">
      <c r="A7" s="2" t="s">
        <v>11</v>
      </c>
      <c r="B7" s="2" t="s">
        <v>23</v>
      </c>
      <c r="C7" s="2" t="s">
        <v>25</v>
      </c>
      <c r="D7" s="2" t="s">
        <v>29</v>
      </c>
      <c r="E7" s="2">
        <v>6</v>
      </c>
      <c r="F7" s="2">
        <v>90000</v>
      </c>
      <c r="G7" s="3" t="str">
        <f>IF(Table1[[#This Row],[Sales_Amount]]&gt;=100000,"high","low sale")</f>
        <v>low sale</v>
      </c>
      <c r="H7" s="3" t="str">
        <f>IF(Table1[[#This Row],[Quantity]]&gt;=10,"bulk order","regular order")</f>
        <v>regular order</v>
      </c>
      <c r="I7" s="3" t="str">
        <f>IF(AND(Table1[[#This Row],[Quantity]]&gt;=5,Table1[[#This Row],[Sales_Amount]]&gt;=100000),"target achived","target not achived")</f>
        <v>target not achived</v>
      </c>
      <c r="J7" s="3" t="str">
        <f>IF(AND(Table1[[#This Row],[Sales_Amount]]&gt;=200000,Table1[[#This Row],[Quantity]]&gt;=5),"excllent","needs improvement")</f>
        <v>needs improvement</v>
      </c>
    </row>
    <row r="8" spans="1:10" ht="15.5" x14ac:dyDescent="0.35">
      <c r="A8" s="2" t="s">
        <v>12</v>
      </c>
      <c r="B8" s="2" t="s">
        <v>18</v>
      </c>
      <c r="C8" s="2" t="s">
        <v>26</v>
      </c>
      <c r="D8" s="2" t="s">
        <v>28</v>
      </c>
      <c r="E8" s="2">
        <v>7</v>
      </c>
      <c r="F8" s="2">
        <v>350000</v>
      </c>
      <c r="G8" s="3" t="str">
        <f>IF(Table1[[#This Row],[Sales_Amount]]&gt;=100000,"high","low sale")</f>
        <v>high</v>
      </c>
      <c r="H8" s="3" t="str">
        <f>IF(Table1[[#This Row],[Quantity]]&gt;=10,"bulk order","regular order")</f>
        <v>regular order</v>
      </c>
      <c r="I8" s="3" t="str">
        <f>IF(AND(Table1[[#This Row],[Quantity]]&gt;=5,Table1[[#This Row],[Sales_Amount]]&gt;=100000),"target achived","target not achived")</f>
        <v>target achived</v>
      </c>
      <c r="J8" s="3" t="str">
        <f>IF(AND(Table1[[#This Row],[Sales_Amount]]&gt;=200000,Table1[[#This Row],[Quantity]]&gt;=5),"excllent","needs improvement")</f>
        <v>excllent</v>
      </c>
    </row>
    <row r="9" spans="1:10" ht="15.5" x14ac:dyDescent="0.35">
      <c r="A9" s="2" t="s">
        <v>13</v>
      </c>
      <c r="B9" s="2" t="s">
        <v>19</v>
      </c>
      <c r="C9" s="2" t="s">
        <v>27</v>
      </c>
      <c r="D9" s="2" t="s">
        <v>30</v>
      </c>
      <c r="E9" s="2">
        <v>10</v>
      </c>
      <c r="F9" s="2">
        <v>25000</v>
      </c>
      <c r="G9" s="3" t="str">
        <f>IF(Table1[[#This Row],[Sales_Amount]]&gt;=100000,"high","low sale")</f>
        <v>low sale</v>
      </c>
      <c r="H9" s="3" t="str">
        <f>IF(Table1[[#This Row],[Quantity]]&gt;=10,"bulk order","regular order")</f>
        <v>bulk order</v>
      </c>
      <c r="I9" s="3" t="str">
        <f>IF(AND(Table1[[#This Row],[Quantity]]&gt;=5,Table1[[#This Row],[Sales_Amount]]&gt;=100000),"target achived","target not achived")</f>
        <v>target not achived</v>
      </c>
      <c r="J9" s="3" t="str">
        <f>IF(AND(Table1[[#This Row],[Sales_Amount]]&gt;=200000,Table1[[#This Row],[Quantity]]&gt;=5),"excllent","needs improvement")</f>
        <v>needs improvement</v>
      </c>
    </row>
    <row r="10" spans="1:10" ht="15.5" x14ac:dyDescent="0.35">
      <c r="A10" s="2" t="s">
        <v>14</v>
      </c>
      <c r="B10" s="2" t="s">
        <v>20</v>
      </c>
      <c r="C10" s="2" t="s">
        <v>24</v>
      </c>
      <c r="D10" s="2" t="s">
        <v>29</v>
      </c>
      <c r="E10" s="2">
        <v>4</v>
      </c>
      <c r="F10" s="2">
        <v>60000</v>
      </c>
      <c r="G10" s="3" t="str">
        <f>IF(Table1[[#This Row],[Sales_Amount]]&gt;=100000,"high","low sale")</f>
        <v>low sale</v>
      </c>
      <c r="H10" s="3" t="str">
        <f>IF(Table1[[#This Row],[Quantity]]&gt;=10,"bulk order","regular order")</f>
        <v>regular order</v>
      </c>
      <c r="I10" s="3" t="str">
        <f>IF(AND(Table1[[#This Row],[Quantity]]&gt;=5,Table1[[#This Row],[Sales_Amount]]&gt;=100000),"target achived","target not achived")</f>
        <v>target not achived</v>
      </c>
      <c r="J10" s="3" t="str">
        <f>IF(AND(Table1[[#This Row],[Sales_Amount]]&gt;=200000,Table1[[#This Row],[Quantity]]&gt;=5),"excllent","needs improvement")</f>
        <v>needs improvement</v>
      </c>
    </row>
    <row r="11" spans="1:10" ht="15.5" x14ac:dyDescent="0.35">
      <c r="A11" s="2" t="s">
        <v>15</v>
      </c>
      <c r="B11" s="2" t="s">
        <v>21</v>
      </c>
      <c r="C11" s="2" t="s">
        <v>25</v>
      </c>
      <c r="D11" s="2" t="s">
        <v>31</v>
      </c>
      <c r="E11" s="2">
        <v>20</v>
      </c>
      <c r="F11" s="2">
        <v>30000</v>
      </c>
      <c r="G11" s="3" t="str">
        <f>IF(Table1[[#This Row],[Sales_Amount]]&gt;=100000,"high","low sale")</f>
        <v>low sale</v>
      </c>
      <c r="H11" s="3" t="str">
        <f>IF(Table1[[#This Row],[Quantity]]&gt;=10,"bulk order","regular order")</f>
        <v>bulk order</v>
      </c>
      <c r="I11" s="3" t="str">
        <f>IF(AND(Table1[[#This Row],[Quantity]]&gt;=5,Table1[[#This Row],[Sales_Amount]]&gt;=100000),"target achived","target not achived")</f>
        <v>target not achived</v>
      </c>
      <c r="J11" s="3" t="str">
        <f>IF(AND(Table1[[#This Row],[Sales_Amount]]&gt;=200000,Table1[[#This Row],[Quantity]]&gt;=5),"excllent","needs improvement")</f>
        <v>needs improvement</v>
      </c>
    </row>
    <row r="12" spans="1:10" ht="15.5" x14ac:dyDescent="0.35">
      <c r="A12" s="2" t="s">
        <v>16</v>
      </c>
      <c r="B12" s="2" t="s">
        <v>22</v>
      </c>
      <c r="C12" s="2" t="s">
        <v>26</v>
      </c>
      <c r="D12" s="2" t="s">
        <v>28</v>
      </c>
      <c r="E12" s="2">
        <v>2</v>
      </c>
      <c r="F12" s="2">
        <v>110000</v>
      </c>
      <c r="G12" s="3" t="str">
        <f>IF(Table1[[#This Row],[Sales_Amount]]&gt;=100000,"high","low sale")</f>
        <v>high</v>
      </c>
      <c r="H12" s="3" t="str">
        <f>IF(Table1[[#This Row],[Quantity]]&gt;=10,"bulk order","regular order")</f>
        <v>regular order</v>
      </c>
      <c r="I12" s="3" t="str">
        <f>IF(AND(Table1[[#This Row],[Quantity]]&gt;=5,Table1[[#This Row],[Sales_Amount]]&gt;=100000),"target achived","target not achived")</f>
        <v>target not achived</v>
      </c>
      <c r="J12" s="3" t="str">
        <f>IF(AND(Table1[[#This Row],[Sales_Amount]]&gt;=200000,Table1[[#This Row],[Quantity]]&gt;=5),"excllent","needs improvement")</f>
        <v>needs improvement</v>
      </c>
    </row>
    <row r="13" spans="1:10" ht="15.5" x14ac:dyDescent="0.35">
      <c r="A13" s="2" t="s">
        <v>17</v>
      </c>
      <c r="B13" s="2" t="s">
        <v>23</v>
      </c>
      <c r="C13" s="2" t="s">
        <v>27</v>
      </c>
      <c r="D13" s="2" t="s">
        <v>30</v>
      </c>
      <c r="E13" s="2">
        <v>14</v>
      </c>
      <c r="F13" s="2">
        <v>28000</v>
      </c>
      <c r="G13" s="3" t="str">
        <f>IF(Table1[[#This Row],[Sales_Amount]]&gt;=100000,"high","low sale")</f>
        <v>low sale</v>
      </c>
      <c r="H13" s="3" t="str">
        <f>IF(Table1[[#This Row],[Quantity]]&gt;=10,"bulk order","regular order")</f>
        <v>bulk order</v>
      </c>
      <c r="I13" s="3" t="str">
        <f>IF(AND(Table1[[#This Row],[Quantity]]&gt;=5,Table1[[#This Row],[Sales_Amount]]&gt;=100000),"target achived","target not achived")</f>
        <v>target not achived</v>
      </c>
      <c r="J13" s="3" t="str">
        <f>IF(AND(Table1[[#This Row],[Sales_Amount]]&gt;=200000,Table1[[#This Row],[Quantity]]&gt;=5),"excllent","needs improvement")</f>
        <v>needs improvement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sadnan adiyattil</cp:lastModifiedBy>
  <dcterms:created xsi:type="dcterms:W3CDTF">2026-09-07T07:43:10Z</dcterms:created>
  <dcterms:modified xsi:type="dcterms:W3CDTF">2026-09-08T06:28:07Z</dcterms:modified>
</cp:coreProperties>
</file>
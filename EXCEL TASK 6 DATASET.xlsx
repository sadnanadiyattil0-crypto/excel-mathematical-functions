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33" documentId="8_{D0034850-EDE5-4318-B2FB-B83880B6218E}" xr6:coauthVersionLast="47" xr6:coauthVersionMax="47" xr10:uidLastSave="{C4DEDA01-6D31-47BA-8E00-6EC451B998DB}"/>
  <bookViews>
    <workbookView xWindow="-110" yWindow="-110" windowWidth="19420" windowHeight="10300" xr2:uid="{00000000-000D-0000-FFFF-FFFF00000000}"/>
  </bookViews>
  <sheets>
    <sheet name="Products" sheetId="1" r:id="rId1"/>
    <sheet name="Employees" sheetId="2" r:id="rId2"/>
    <sheet name="Orders" sheetId="3" r:id="rId3"/>
    <sheet name="Practice" sheetId="4" r:id="rId4"/>
    <sheet name="HLookup_Practice" sheetId="5" r:id="rId5"/>
    <sheet name="Instructions" sheetId="6" r:id="rId6"/>
  </sheets>
  <definedNames>
    <definedName name="_xlnm._FilterDatabase" localSheetId="1" hidden="1">Employees!$A$1:$E$7</definedName>
    <definedName name="_xlnm._FilterDatabase" localSheetId="4" hidden="1">HLookup_Practice!$A$1:$F$5</definedName>
    <definedName name="_xlnm._FilterDatabase" localSheetId="5" hidden="1">Instructions!$A$1:$A$12</definedName>
    <definedName name="_xlnm._FilterDatabase" localSheetId="2" hidden="1">Orders!$A$1:$F$13</definedName>
    <definedName name="_xlnm._FilterDatabase" localSheetId="3" hidden="1">Practice!$A$1:$H$9</definedName>
    <definedName name="_xlnm._FilterDatabase" localSheetId="0" hidden="1">Products!$A$1:$E$11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G11" i="1"/>
  <c r="G14" i="2"/>
  <c r="G12" i="1"/>
  <c r="H4" i="1"/>
  <c r="H3" i="5"/>
  <c r="H4" i="5"/>
  <c r="H5" i="5"/>
  <c r="G3" i="1"/>
  <c r="G6" i="2"/>
  <c r="G8" i="1"/>
  <c r="G7" i="1"/>
  <c r="G5" i="2"/>
  <c r="G4" i="2"/>
  <c r="G6" i="1"/>
  <c r="G5" i="1"/>
  <c r="G2" i="1"/>
</calcChain>
</file>

<file path=xl/sharedStrings.xml><?xml version="1.0" encoding="utf-8"?>
<sst xmlns="http://schemas.openxmlformats.org/spreadsheetml/2006/main" count="117" uniqueCount="87">
  <si>
    <t>Product_ID</t>
  </si>
  <si>
    <t>Product_Name</t>
  </si>
  <si>
    <t>Category</t>
  </si>
  <si>
    <t>Brand</t>
  </si>
  <si>
    <t>Unit_Price</t>
  </si>
  <si>
    <t>Laptop</t>
  </si>
  <si>
    <t>Electronics</t>
  </si>
  <si>
    <t>Dell</t>
  </si>
  <si>
    <t>Smartphone</t>
  </si>
  <si>
    <t>Samsung</t>
  </si>
  <si>
    <t>Headphones</t>
  </si>
  <si>
    <t>Sony</t>
  </si>
  <si>
    <t>Keyboard</t>
  </si>
  <si>
    <t>Logitech</t>
  </si>
  <si>
    <t>Mouse</t>
  </si>
  <si>
    <t>HP</t>
  </si>
  <si>
    <t>Monitor</t>
  </si>
  <si>
    <t>LG</t>
  </si>
  <si>
    <t>Printer</t>
  </si>
  <si>
    <t>Canon</t>
  </si>
  <si>
    <t>Tablet</t>
  </si>
  <si>
    <t>Lenovo</t>
  </si>
  <si>
    <t>Office Chair</t>
  </si>
  <si>
    <t>Furniture</t>
  </si>
  <si>
    <t>GreenSoul</t>
  </si>
  <si>
    <t>Desk</t>
  </si>
  <si>
    <t>IKEA</t>
  </si>
  <si>
    <t>Employee_ID</t>
  </si>
  <si>
    <t>Employee_Name</t>
  </si>
  <si>
    <t>Department</t>
  </si>
  <si>
    <t>Location</t>
  </si>
  <si>
    <t>Email</t>
  </si>
  <si>
    <t>Anu</t>
  </si>
  <si>
    <t>Sales</t>
  </si>
  <si>
    <t>Kochi</t>
  </si>
  <si>
    <t>anu@example.com</t>
  </si>
  <si>
    <t>Rahul</t>
  </si>
  <si>
    <t>Bangalore</t>
  </si>
  <si>
    <t>rahul@example.com</t>
  </si>
  <si>
    <t>Meera</t>
  </si>
  <si>
    <t>Marketing</t>
  </si>
  <si>
    <t>Chennai</t>
  </si>
  <si>
    <t>meera@example.com</t>
  </si>
  <si>
    <t>Arjun</t>
  </si>
  <si>
    <t>Finance</t>
  </si>
  <si>
    <t>arjun@example.com</t>
  </si>
  <si>
    <t>Diya</t>
  </si>
  <si>
    <t>HR</t>
  </si>
  <si>
    <t>Hyderabad</t>
  </si>
  <si>
    <t>diya@example.com</t>
  </si>
  <si>
    <t>Vivek</t>
  </si>
  <si>
    <t>Mumbai</t>
  </si>
  <si>
    <t>vivek@example.com</t>
  </si>
  <si>
    <t>Order_ID</t>
  </si>
  <si>
    <t>Order_Date</t>
  </si>
  <si>
    <t>Quantity</t>
  </si>
  <si>
    <t>Payment_Method</t>
  </si>
  <si>
    <t>UPI</t>
  </si>
  <si>
    <t>Credit Card</t>
  </si>
  <si>
    <t>Cash</t>
  </si>
  <si>
    <t>Debit Card</t>
  </si>
  <si>
    <t>Field</t>
  </si>
  <si>
    <t>Jan</t>
  </si>
  <si>
    <t>Feb</t>
  </si>
  <si>
    <t>Mar</t>
  </si>
  <si>
    <t>Apr</t>
  </si>
  <si>
    <t>May</t>
  </si>
  <si>
    <t>Profit</t>
  </si>
  <si>
    <t>Orders</t>
  </si>
  <si>
    <t>Lookup Practice</t>
  </si>
  <si>
    <t>Use the Practice sheet to fill the blank columns using lookup functions.</t>
  </si>
  <si>
    <t>1. Product_Name: look up Product_ID from Products.</t>
  </si>
  <si>
    <t>2. Category: look up Product_ID from Products.</t>
  </si>
  <si>
    <t>3. Unit_Price: look up Product_ID from Products.</t>
  </si>
  <si>
    <t>4. Employee_Name: look up Employee_ID from Employees.</t>
  </si>
  <si>
    <t>5. Try XLOOKUP, VLOOKUP, INDEX+MATCH, and HLOOKUP where applicable.</t>
  </si>
  <si>
    <t>6. Use IFERROR around lookups to handle missing IDs.</t>
  </si>
  <si>
    <t>Example XLOOKUP: =XLOOKUP(B2,Products!$A$2:$A$11,Products!$B$2:$B$11,"Not Found")</t>
  </si>
  <si>
    <t>Example VLOOKUP: =VLOOKUP(B2,Products!$A$2:$E$11,2,FALSE)</t>
  </si>
  <si>
    <t>Example INDEX+MATCH: =INDEX(Products!$B$2:$B$11,MATCH(B2,Products!$A$2:$A$11,0))</t>
  </si>
  <si>
    <t>HLOOKUP is demonstrated by the separate HLookup_Practice sheet.</t>
  </si>
  <si>
    <t>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</si>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</sst>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164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3" borderId="1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3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2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-mm\-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FD21E-7DFA-4DBA-BCBF-6E36A83C7212}" name="Table1" displayName="Table1" ref="A1:E11" totalsRowShown="0" headerRowDxfId="34">
  <autoFilter ref="A1:E11" xr:uid="{00000000-0009-0000-0000-000000000000}"/>
  <tableColumns count="5">
    <tableColumn id="1" xr3:uid="{5E70ABEE-B14B-4E12-84F7-BDA2D3E0892A}" name="Product_ID"/>
    <tableColumn id="2" xr3:uid="{66E7C075-3156-4224-B1BD-575EA6CEC904}" name="Product_Name"/>
    <tableColumn id="3" xr3:uid="{B9DB3921-79E4-4756-A448-63CC1A997089}" name="Category"/>
    <tableColumn id="4" xr3:uid="{7F4C0E12-A461-4A3B-AED1-9E1DBD5090ED}" name="Brand"/>
    <tableColumn id="5" xr3:uid="{CE5943F2-FB4A-4AC4-B6A0-1597A779FD51}" name="Unit_Pric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F186D7-A88F-404F-9E9F-F6E66B96640B}" name="Table2" displayName="Table2" ref="A1:E7" totalsRowShown="0" headerRowDxfId="33">
  <autoFilter ref="A1:E7" xr:uid="{00000000-0009-0000-0000-000001000000}"/>
  <tableColumns count="5">
    <tableColumn id="1" xr3:uid="{7B4DC701-1B88-4A98-87BF-F2E96BA48C84}" name="Employee_ID"/>
    <tableColumn id="2" xr3:uid="{7EE76570-684B-4CE4-B575-08F9DD994B80}" name="Employee_Name"/>
    <tableColumn id="3" xr3:uid="{8B904D36-2070-4EFD-8A1B-B65BC114C123}" name="Department"/>
    <tableColumn id="4" xr3:uid="{034094AD-24D0-4C1F-88EF-456B185D0776}" name="Location"/>
    <tableColumn id="5" xr3:uid="{9E3AA328-4981-4847-986C-7BAD7917888B}" name="Emai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A8C017-B604-4E24-AE4A-FC2ABD66F21D}" name="Table3" displayName="Table3" ref="A1:F13" totalsRowShown="0" headerRowDxfId="32" headerRowBorderDxfId="31" tableBorderDxfId="30" totalsRowBorderDxfId="29">
  <autoFilter ref="A1:F13" xr:uid="{00000000-0009-0000-0000-000002000000}"/>
  <tableColumns count="6">
    <tableColumn id="1" xr3:uid="{A8AC3B8D-80DB-4E2D-8EAF-7AC6F7EBB032}" name="Order_ID" dataDxfId="28"/>
    <tableColumn id="2" xr3:uid="{EF029F81-7A18-4347-A24D-A9F318A20552}" name="Order_Date" dataDxfId="27"/>
    <tableColumn id="3" xr3:uid="{E206E773-D4AD-462F-B591-8FAA304EEABE}" name="Product_ID" dataDxfId="26"/>
    <tableColumn id="4" xr3:uid="{8FA6EA9A-34CD-4536-A086-5CF87D7BFFFC}" name="Employee_ID" dataDxfId="25"/>
    <tableColumn id="5" xr3:uid="{8638780C-5E58-4CD6-BBA7-33C56B2F8F1D}" name="Quantity" dataDxfId="24"/>
    <tableColumn id="6" xr3:uid="{D7F897B6-8BE1-47BF-9982-2459B23B7CEA}" name="Payment_Method" dataDxfId="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2DFD9-3130-43C0-BA61-60FFFDB6A1AF}" name="Table4" displayName="Table4" ref="A1:H11" totalsRowShown="0" headerRowDxfId="22" dataDxfId="20" headerRowBorderDxfId="21" tableBorderDxfId="19" totalsRowBorderDxfId="18">
  <autoFilter ref="A1:H11" xr:uid="{5942DFD9-3130-43C0-BA61-60FFFDB6A1AF}"/>
  <tableColumns count="8">
    <tableColumn id="1" xr3:uid="{DCE0B353-3177-4CCD-BC19-9C4E4FA2D6F6}" name="Order_ID" dataDxfId="17"/>
    <tableColumn id="2" xr3:uid="{DDCE0640-6BC7-46FE-BF19-2BF4B8D443D0}" name="Product_ID" dataDxfId="16"/>
    <tableColumn id="3" xr3:uid="{01E8E6C1-B660-4867-ADF2-02EBBECB3E90}" name="Employee_ID" dataDxfId="15"/>
    <tableColumn id="4" xr3:uid="{B0911167-5489-4043-B84B-6959B5E9F5EA}" name="Quantity" dataDxfId="14"/>
    <tableColumn id="5" xr3:uid="{96582E58-313A-4766-AC57-BCA70558E516}" name="Product_Name" dataDxfId="13"/>
    <tableColumn id="6" xr3:uid="{1D41D0A5-D9EC-424A-8324-5CAAFAF45359}" name="Category" dataDxfId="12"/>
    <tableColumn id="7" xr3:uid="{CF7753E6-9BA8-482C-9B30-E9CA3CD367A2}" name="Unit_Price" dataDxfId="11"/>
    <tableColumn id="8" xr3:uid="{2926206C-6719-4E9A-97D6-5EE82B792034}" name="Employee_Name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BB7A75-90AD-4914-A58B-A5460E8F3080}" name="Table5" displayName="Table5" ref="A1:F5" totalsRowShown="0" headerRowDxfId="9" headerRowBorderDxfId="8" tableBorderDxfId="7" totalsRowBorderDxfId="6">
  <autoFilter ref="A1:F5" xr:uid="{00000000-0009-0000-0000-000004000000}"/>
  <tableColumns count="6">
    <tableColumn id="1" xr3:uid="{F82629D6-16B3-4C24-BE28-93219E767CFE}" name="0" dataDxfId="5"/>
    <tableColumn id="2" xr3:uid="{0CE07C95-4ADE-4071-8FC4-67577AC0CE60}" name="1" dataDxfId="4"/>
    <tableColumn id="3" xr3:uid="{F4FF89E6-BDAA-4607-85A9-D3F972FC6772}" name="2" dataDxfId="3"/>
    <tableColumn id="4" xr3:uid="{6C9E7D8A-9C04-42CA-A37B-9FAA0D18C10B}" name="3" dataDxfId="2"/>
    <tableColumn id="5" xr3:uid="{BF151FCD-0ABB-4996-9DC5-E2DF8F9C1748}" name="4" dataDxfId="1"/>
    <tableColumn id="6" xr3:uid="{E7459D83-1896-49C6-B008-BEBC46D4EB05}" name="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40" zoomScaleNormal="140" workbookViewId="0">
      <pane ySplit="1" topLeftCell="A2" activePane="bottomLeft" state="frozen"/>
      <selection pane="bottomLeft" activeCell="I8" sqref="I8"/>
    </sheetView>
  </sheetViews>
  <sheetFormatPr defaultRowHeight="14.5" x14ac:dyDescent="0.35"/>
  <cols>
    <col min="1" max="1" width="12.26953125" customWidth="1"/>
    <col min="2" max="2" width="15.36328125" customWidth="1"/>
    <col min="3" max="3" width="13" customWidth="1"/>
    <col min="4" max="5" width="12" customWidth="1"/>
    <col min="8" max="8" width="11.54296875" customWidth="1"/>
    <col min="9" max="9" width="12.26953125" customWidth="1"/>
    <col min="11" max="11" width="9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5">
      <c r="A2">
        <v>101</v>
      </c>
      <c r="B2" t="s">
        <v>5</v>
      </c>
      <c r="C2" t="s">
        <v>6</v>
      </c>
      <c r="D2" t="s">
        <v>7</v>
      </c>
      <c r="E2">
        <v>55000</v>
      </c>
      <c r="G2" t="str">
        <f>INDEX(Table1[#All],2,3)</f>
        <v>Electronics</v>
      </c>
    </row>
    <row r="3" spans="1:9" x14ac:dyDescent="0.35">
      <c r="A3">
        <v>102</v>
      </c>
      <c r="B3" t="s">
        <v>8</v>
      </c>
      <c r="C3" t="s">
        <v>6</v>
      </c>
      <c r="D3" t="s">
        <v>9</v>
      </c>
      <c r="E3">
        <v>28000</v>
      </c>
      <c r="G3" t="str">
        <f>INDEX(Table1[Brand],5)</f>
        <v>HP</v>
      </c>
    </row>
    <row r="4" spans="1:9" x14ac:dyDescent="0.35">
      <c r="A4">
        <v>103</v>
      </c>
      <c r="B4" t="s">
        <v>10</v>
      </c>
      <c r="C4" t="s">
        <v>6</v>
      </c>
      <c r="D4" t="s">
        <v>11</v>
      </c>
      <c r="E4">
        <v>4500</v>
      </c>
      <c r="G4">
        <v>2200</v>
      </c>
      <c r="H4" t="str">
        <f>_xlfn.XLOOKUP(D8,Table1[Brand],Table1[Product_Name])</f>
        <v>Printer</v>
      </c>
      <c r="I4" t="str">
        <f>_xlfn.XLOOKUP("Canon",Table1[Brand],Table1[Product_Name])</f>
        <v>Printer</v>
      </c>
    </row>
    <row r="5" spans="1:9" x14ac:dyDescent="0.35">
      <c r="A5">
        <v>104</v>
      </c>
      <c r="B5" t="s">
        <v>12</v>
      </c>
      <c r="C5" t="s">
        <v>6</v>
      </c>
      <c r="D5" t="s">
        <v>13</v>
      </c>
      <c r="E5">
        <v>2200</v>
      </c>
      <c r="F5">
        <v>1</v>
      </c>
      <c r="G5" t="str">
        <f>INDEX(Table1[Product_Name],MATCH(A6,Table1[Product_ID],0))</f>
        <v>Mouse</v>
      </c>
      <c r="I5" t="str">
        <f>_xlfn.XLOOKUP("CanOn",Table1[Brand],Table1[Product_Name],"NOT AVAILABLE")</f>
        <v>Printer</v>
      </c>
    </row>
    <row r="6" spans="1:9" x14ac:dyDescent="0.35">
      <c r="A6">
        <v>105</v>
      </c>
      <c r="B6" t="s">
        <v>14</v>
      </c>
      <c r="C6" t="s">
        <v>6</v>
      </c>
      <c r="D6" t="s">
        <v>15</v>
      </c>
      <c r="E6">
        <v>1200</v>
      </c>
      <c r="F6">
        <v>2</v>
      </c>
      <c r="G6">
        <f>INDEX(Table1[Unit_Price],MATCH(A4,Table1[Product_ID],0))</f>
        <v>4500</v>
      </c>
    </row>
    <row r="7" spans="1:9" x14ac:dyDescent="0.35">
      <c r="A7">
        <v>106</v>
      </c>
      <c r="B7" t="s">
        <v>16</v>
      </c>
      <c r="C7" t="s">
        <v>6</v>
      </c>
      <c r="D7" t="s">
        <v>17</v>
      </c>
      <c r="E7">
        <v>14500</v>
      </c>
      <c r="F7">
        <v>3</v>
      </c>
      <c r="G7" t="str">
        <f>VLOOKUP(A3,Table1[],2,FALSE)</f>
        <v>Smartphone</v>
      </c>
    </row>
    <row r="8" spans="1:9" x14ac:dyDescent="0.35">
      <c r="A8">
        <v>107</v>
      </c>
      <c r="B8" t="s">
        <v>18</v>
      </c>
      <c r="C8" t="s">
        <v>6</v>
      </c>
      <c r="D8" t="s">
        <v>19</v>
      </c>
      <c r="E8">
        <v>12500</v>
      </c>
      <c r="F8">
        <v>4</v>
      </c>
      <c r="G8">
        <f>VLOOKUP(A6,Table1[],5,)</f>
        <v>1200</v>
      </c>
    </row>
    <row r="9" spans="1:9" x14ac:dyDescent="0.35">
      <c r="A9">
        <v>108</v>
      </c>
      <c r="B9" t="s">
        <v>20</v>
      </c>
      <c r="C9" t="s">
        <v>6</v>
      </c>
      <c r="D9" t="s">
        <v>21</v>
      </c>
      <c r="E9">
        <v>21000</v>
      </c>
      <c r="F9">
        <v>5</v>
      </c>
    </row>
    <row r="10" spans="1:9" x14ac:dyDescent="0.35">
      <c r="A10">
        <v>109</v>
      </c>
      <c r="B10" t="s">
        <v>22</v>
      </c>
      <c r="C10" t="s">
        <v>23</v>
      </c>
      <c r="D10" t="s">
        <v>24</v>
      </c>
      <c r="E10">
        <v>8500</v>
      </c>
    </row>
    <row r="11" spans="1:9" x14ac:dyDescent="0.35">
      <c r="A11">
        <v>110</v>
      </c>
      <c r="B11" t="s">
        <v>25</v>
      </c>
      <c r="C11" t="s">
        <v>23</v>
      </c>
      <c r="D11" t="s">
        <v>26</v>
      </c>
      <c r="E11">
        <v>12000</v>
      </c>
      <c r="G11" t="str">
        <f>_xlfn.XLOOKUP(A6,Table1[Product_ID],Table1[Category])</f>
        <v>Electronics</v>
      </c>
    </row>
    <row r="12" spans="1:9" x14ac:dyDescent="0.35">
      <c r="G12" t="str">
        <f>_xlfn.XLOOKUP(A4,Table1[Product_ID],Table1[Brand])</f>
        <v>Sony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1" topLeftCell="A2" activePane="bottomLeft" state="frozen"/>
      <selection pane="bottomLeft" activeCell="G15" sqref="G15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4" max="4" width="12" customWidth="1"/>
    <col min="5" max="5" width="19" customWidth="1"/>
  </cols>
  <sheetData>
    <row r="1" spans="1:7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7" x14ac:dyDescent="0.35">
      <c r="A2">
        <v>201</v>
      </c>
      <c r="B2" t="s">
        <v>32</v>
      </c>
      <c r="C2" t="s">
        <v>33</v>
      </c>
      <c r="D2" t="s">
        <v>34</v>
      </c>
      <c r="E2" t="s">
        <v>35</v>
      </c>
    </row>
    <row r="3" spans="1:7" x14ac:dyDescent="0.35">
      <c r="A3">
        <v>202</v>
      </c>
      <c r="B3" t="s">
        <v>36</v>
      </c>
      <c r="C3" t="s">
        <v>33</v>
      </c>
      <c r="D3" t="s">
        <v>37</v>
      </c>
      <c r="E3" t="s">
        <v>38</v>
      </c>
    </row>
    <row r="4" spans="1:7" x14ac:dyDescent="0.35">
      <c r="A4">
        <v>203</v>
      </c>
      <c r="B4" t="s">
        <v>39</v>
      </c>
      <c r="C4" t="s">
        <v>40</v>
      </c>
      <c r="D4" t="s">
        <v>41</v>
      </c>
      <c r="E4" t="s">
        <v>42</v>
      </c>
      <c r="F4">
        <v>3</v>
      </c>
      <c r="G4" t="str">
        <f>INDEX(Table2[Employee_Name],MATCH(Table2[[#This Row],[Employee_ID]],Table2[Employee_ID],0))</f>
        <v>Meera</v>
      </c>
    </row>
    <row r="5" spans="1:7" x14ac:dyDescent="0.35">
      <c r="A5">
        <v>204</v>
      </c>
      <c r="B5" t="s">
        <v>43</v>
      </c>
      <c r="C5" t="s">
        <v>44</v>
      </c>
      <c r="D5" t="s">
        <v>34</v>
      </c>
      <c r="E5" t="s">
        <v>45</v>
      </c>
      <c r="F5">
        <v>4</v>
      </c>
      <c r="G5" t="str">
        <f>INDEX(Table2[Department],MATCH(A6,Table2[Employee_ID],0))</f>
        <v>HR</v>
      </c>
    </row>
    <row r="6" spans="1:7" x14ac:dyDescent="0.35">
      <c r="A6">
        <v>205</v>
      </c>
      <c r="B6" t="s">
        <v>46</v>
      </c>
      <c r="C6" t="s">
        <v>47</v>
      </c>
      <c r="D6" t="s">
        <v>48</v>
      </c>
      <c r="E6" t="s">
        <v>49</v>
      </c>
      <c r="G6" t="str">
        <f>VLOOKUP(A3,Table2[],3,)</f>
        <v>Sales</v>
      </c>
    </row>
    <row r="7" spans="1:7" x14ac:dyDescent="0.35">
      <c r="A7">
        <v>206</v>
      </c>
      <c r="B7" t="s">
        <v>50</v>
      </c>
      <c r="C7" t="s">
        <v>33</v>
      </c>
      <c r="D7" t="s">
        <v>51</v>
      </c>
      <c r="E7" t="s">
        <v>52</v>
      </c>
    </row>
    <row r="14" spans="1:7" x14ac:dyDescent="0.35">
      <c r="G14" t="str">
        <f>_xlfn.XLOOKUP(A3,Table2[Employee_ID],Table2[Location])</f>
        <v>Bangalore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12" customWidth="1"/>
    <col min="2" max="2" width="21" customWidth="1"/>
    <col min="3" max="3" width="12.26953125" customWidth="1"/>
    <col min="4" max="4" width="13.81640625" customWidth="1"/>
    <col min="5" max="5" width="12" customWidth="1"/>
    <col min="6" max="6" width="18" customWidth="1"/>
  </cols>
  <sheetData>
    <row r="1" spans="1:6" x14ac:dyDescent="0.35">
      <c r="A1" s="2" t="s">
        <v>53</v>
      </c>
      <c r="B1" s="3" t="s">
        <v>54</v>
      </c>
      <c r="C1" s="3" t="s">
        <v>0</v>
      </c>
      <c r="D1" s="3" t="s">
        <v>27</v>
      </c>
      <c r="E1" s="3" t="s">
        <v>55</v>
      </c>
      <c r="F1" s="4" t="s">
        <v>56</v>
      </c>
    </row>
    <row r="2" spans="1:6" x14ac:dyDescent="0.35">
      <c r="A2" s="5">
        <v>5001</v>
      </c>
      <c r="B2" s="6">
        <v>46027</v>
      </c>
      <c r="C2" s="7">
        <v>101</v>
      </c>
      <c r="D2" s="7">
        <v>201</v>
      </c>
      <c r="E2" s="7">
        <v>1</v>
      </c>
      <c r="F2" s="8" t="s">
        <v>57</v>
      </c>
    </row>
    <row r="3" spans="1:6" x14ac:dyDescent="0.35">
      <c r="A3" s="5">
        <v>5002</v>
      </c>
      <c r="B3" s="6">
        <v>46029</v>
      </c>
      <c r="C3" s="7">
        <v>103</v>
      </c>
      <c r="D3" s="7">
        <v>202</v>
      </c>
      <c r="E3" s="7">
        <v>2</v>
      </c>
      <c r="F3" s="8" t="s">
        <v>58</v>
      </c>
    </row>
    <row r="4" spans="1:6" x14ac:dyDescent="0.35">
      <c r="A4" s="5">
        <v>5003</v>
      </c>
      <c r="B4" s="6">
        <v>46032</v>
      </c>
      <c r="C4" s="7">
        <v>105</v>
      </c>
      <c r="D4" s="7">
        <v>201</v>
      </c>
      <c r="E4" s="7">
        <v>3</v>
      </c>
      <c r="F4" s="8" t="s">
        <v>59</v>
      </c>
    </row>
    <row r="5" spans="1:6" x14ac:dyDescent="0.35">
      <c r="A5" s="5">
        <v>5004</v>
      </c>
      <c r="B5" s="6">
        <v>46035</v>
      </c>
      <c r="C5" s="7">
        <v>109</v>
      </c>
      <c r="D5" s="7">
        <v>204</v>
      </c>
      <c r="E5" s="7">
        <v>1</v>
      </c>
      <c r="F5" s="8" t="s">
        <v>60</v>
      </c>
    </row>
    <row r="6" spans="1:6" x14ac:dyDescent="0.35">
      <c r="A6" s="5">
        <v>5005</v>
      </c>
      <c r="B6" s="6">
        <v>46040</v>
      </c>
      <c r="C6" s="7">
        <v>102</v>
      </c>
      <c r="D6" s="7">
        <v>206</v>
      </c>
      <c r="E6" s="7">
        <v>2</v>
      </c>
      <c r="F6" s="8" t="s">
        <v>57</v>
      </c>
    </row>
    <row r="7" spans="1:6" x14ac:dyDescent="0.35">
      <c r="A7" s="5">
        <v>5006</v>
      </c>
      <c r="B7" s="6">
        <v>46044</v>
      </c>
      <c r="C7" s="7">
        <v>106</v>
      </c>
      <c r="D7" s="7">
        <v>202</v>
      </c>
      <c r="E7" s="7">
        <v>1</v>
      </c>
      <c r="F7" s="8" t="s">
        <v>58</v>
      </c>
    </row>
    <row r="8" spans="1:6" x14ac:dyDescent="0.35">
      <c r="A8" s="5">
        <v>5007</v>
      </c>
      <c r="B8" s="6">
        <v>46055</v>
      </c>
      <c r="C8" s="7">
        <v>108</v>
      </c>
      <c r="D8" s="7">
        <v>206</v>
      </c>
      <c r="E8" s="7">
        <v>2</v>
      </c>
      <c r="F8" s="8" t="s">
        <v>57</v>
      </c>
    </row>
    <row r="9" spans="1:6" x14ac:dyDescent="0.35">
      <c r="A9" s="5">
        <v>5008</v>
      </c>
      <c r="B9" s="6">
        <v>46061</v>
      </c>
      <c r="C9" s="7">
        <v>107</v>
      </c>
      <c r="D9" s="7">
        <v>201</v>
      </c>
      <c r="E9" s="7">
        <v>1</v>
      </c>
      <c r="F9" s="8" t="s">
        <v>60</v>
      </c>
    </row>
    <row r="10" spans="1:6" x14ac:dyDescent="0.35">
      <c r="A10" s="5">
        <v>5009</v>
      </c>
      <c r="B10" s="6">
        <v>46068</v>
      </c>
      <c r="C10" s="7">
        <v>110</v>
      </c>
      <c r="D10" s="7">
        <v>204</v>
      </c>
      <c r="E10" s="7">
        <v>1</v>
      </c>
      <c r="F10" s="8" t="s">
        <v>59</v>
      </c>
    </row>
    <row r="11" spans="1:6" x14ac:dyDescent="0.35">
      <c r="A11" s="5">
        <v>5010</v>
      </c>
      <c r="B11" s="6">
        <v>46073</v>
      </c>
      <c r="C11" s="7">
        <v>104</v>
      </c>
      <c r="D11" s="7">
        <v>202</v>
      </c>
      <c r="E11" s="7">
        <v>4</v>
      </c>
      <c r="F11" s="8" t="s">
        <v>57</v>
      </c>
    </row>
    <row r="12" spans="1:6" x14ac:dyDescent="0.35">
      <c r="A12" s="5">
        <v>5011</v>
      </c>
      <c r="B12" s="6">
        <v>46077</v>
      </c>
      <c r="C12" s="7">
        <v>101</v>
      </c>
      <c r="D12" s="7">
        <v>206</v>
      </c>
      <c r="E12" s="7">
        <v>1</v>
      </c>
      <c r="F12" s="8" t="s">
        <v>58</v>
      </c>
    </row>
    <row r="13" spans="1:6" x14ac:dyDescent="0.35">
      <c r="A13" s="9">
        <v>5012</v>
      </c>
      <c r="B13" s="10">
        <v>46084</v>
      </c>
      <c r="C13" s="11">
        <v>103</v>
      </c>
      <c r="D13" s="11">
        <v>201</v>
      </c>
      <c r="E13" s="11">
        <v>2</v>
      </c>
      <c r="F13" s="12" t="s">
        <v>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 activeCell="M16" sqref="M7:N16"/>
    </sheetView>
  </sheetViews>
  <sheetFormatPr defaultRowHeight="14.5" x14ac:dyDescent="0.35"/>
  <cols>
    <col min="1" max="1" width="12" customWidth="1"/>
    <col min="2" max="2" width="12.26953125" customWidth="1"/>
    <col min="3" max="3" width="13.81640625" customWidth="1"/>
    <col min="4" max="4" width="12" customWidth="1"/>
    <col min="5" max="5" width="15.36328125" customWidth="1"/>
    <col min="6" max="7" width="12" customWidth="1"/>
    <col min="8" max="8" width="16.90625" customWidth="1"/>
  </cols>
  <sheetData>
    <row r="1" spans="1:8" x14ac:dyDescent="0.35">
      <c r="A1" s="2" t="s">
        <v>53</v>
      </c>
      <c r="B1" s="3" t="s">
        <v>0</v>
      </c>
      <c r="C1" s="3" t="s">
        <v>27</v>
      </c>
      <c r="D1" s="3" t="s">
        <v>55</v>
      </c>
      <c r="E1" s="3" t="s">
        <v>1</v>
      </c>
      <c r="F1" s="3" t="s">
        <v>2</v>
      </c>
      <c r="G1" s="3" t="s">
        <v>4</v>
      </c>
      <c r="H1" s="4" t="s">
        <v>28</v>
      </c>
    </row>
    <row r="2" spans="1:8" x14ac:dyDescent="0.35">
      <c r="A2" s="5">
        <v>5001</v>
      </c>
      <c r="B2" s="7">
        <v>101</v>
      </c>
      <c r="C2" s="7">
        <v>201</v>
      </c>
      <c r="D2" s="7">
        <v>1</v>
      </c>
      <c r="E2" s="13"/>
      <c r="F2" s="13"/>
      <c r="G2" s="13"/>
      <c r="H2" s="14"/>
    </row>
    <row r="3" spans="1:8" x14ac:dyDescent="0.35">
      <c r="A3" s="5">
        <v>5002</v>
      </c>
      <c r="B3" s="7">
        <v>103</v>
      </c>
      <c r="C3" s="7">
        <v>202</v>
      </c>
      <c r="D3" s="7">
        <v>2</v>
      </c>
      <c r="E3" s="13"/>
      <c r="F3" s="13"/>
      <c r="G3" s="13"/>
      <c r="H3" s="14"/>
    </row>
    <row r="4" spans="1:8" x14ac:dyDescent="0.35">
      <c r="A4" s="5">
        <v>5003</v>
      </c>
      <c r="B4" s="7">
        <v>105</v>
      </c>
      <c r="C4" s="7">
        <v>201</v>
      </c>
      <c r="D4" s="7">
        <v>3</v>
      </c>
      <c r="E4" s="13"/>
      <c r="F4" s="13"/>
      <c r="G4" s="13"/>
      <c r="H4" s="14"/>
    </row>
    <row r="5" spans="1:8" x14ac:dyDescent="0.35">
      <c r="A5" s="5">
        <v>5004</v>
      </c>
      <c r="B5" s="7">
        <v>109</v>
      </c>
      <c r="C5" s="7">
        <v>204</v>
      </c>
      <c r="D5" s="7">
        <v>1</v>
      </c>
      <c r="E5" s="13"/>
      <c r="F5" s="13"/>
      <c r="G5" s="13"/>
      <c r="H5" s="14"/>
    </row>
    <row r="6" spans="1:8" x14ac:dyDescent="0.35">
      <c r="A6" s="5">
        <v>5005</v>
      </c>
      <c r="B6" s="7">
        <v>102</v>
      </c>
      <c r="C6" s="7">
        <v>206</v>
      </c>
      <c r="D6" s="7">
        <v>2</v>
      </c>
      <c r="E6" s="13"/>
      <c r="F6" s="13"/>
      <c r="G6" s="13"/>
      <c r="H6" s="14"/>
    </row>
    <row r="7" spans="1:8" x14ac:dyDescent="0.35">
      <c r="A7" s="5">
        <v>5006</v>
      </c>
      <c r="B7" s="7">
        <v>106</v>
      </c>
      <c r="C7" s="7">
        <v>202</v>
      </c>
      <c r="D7" s="7">
        <v>1</v>
      </c>
      <c r="E7" s="13"/>
      <c r="F7" s="13"/>
      <c r="G7" s="13"/>
      <c r="H7" s="14"/>
    </row>
    <row r="8" spans="1:8" x14ac:dyDescent="0.35">
      <c r="A8" s="5">
        <v>5007</v>
      </c>
      <c r="B8" s="7">
        <v>108</v>
      </c>
      <c r="C8" s="7">
        <v>206</v>
      </c>
      <c r="D8" s="7">
        <v>2</v>
      </c>
      <c r="E8" s="13"/>
      <c r="F8" s="13"/>
      <c r="G8" s="13"/>
      <c r="H8" s="14"/>
    </row>
    <row r="9" spans="1:8" x14ac:dyDescent="0.35">
      <c r="A9" s="5">
        <v>5008</v>
      </c>
      <c r="B9" s="7">
        <v>107</v>
      </c>
      <c r="C9" s="7">
        <v>201</v>
      </c>
      <c r="D9" s="7">
        <v>1</v>
      </c>
      <c r="E9" s="13"/>
      <c r="F9" s="13"/>
      <c r="G9" s="13"/>
      <c r="H9" s="14"/>
    </row>
    <row r="10" spans="1:8" x14ac:dyDescent="0.35">
      <c r="A10" s="5">
        <v>5009</v>
      </c>
      <c r="B10" s="7">
        <v>999</v>
      </c>
      <c r="C10" s="7">
        <v>999</v>
      </c>
      <c r="D10" s="7">
        <v>1</v>
      </c>
      <c r="E10" s="13"/>
      <c r="F10" s="13"/>
      <c r="G10" s="13"/>
      <c r="H10" s="14"/>
    </row>
    <row r="11" spans="1:8" x14ac:dyDescent="0.35">
      <c r="A11" s="9">
        <v>5010</v>
      </c>
      <c r="B11" s="11">
        <v>102</v>
      </c>
      <c r="C11" s="11">
        <v>206</v>
      </c>
      <c r="D11" s="11">
        <v>2</v>
      </c>
      <c r="E11" s="15"/>
      <c r="F11" s="15"/>
      <c r="G11" s="15"/>
      <c r="H11" s="1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 activeCell="J9" sqref="J9:M13"/>
    </sheetView>
  </sheetViews>
  <sheetFormatPr defaultRowHeight="14.5" x14ac:dyDescent="0.35"/>
  <cols>
    <col min="1" max="6" width="12" customWidth="1"/>
  </cols>
  <sheetData>
    <row r="1" spans="1:8" x14ac:dyDescent="0.35">
      <c r="A1" s="2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4" t="s">
        <v>86</v>
      </c>
    </row>
    <row r="2" spans="1:8" x14ac:dyDescent="0.35">
      <c r="A2" s="5" t="s">
        <v>61</v>
      </c>
      <c r="B2" s="7" t="s">
        <v>62</v>
      </c>
      <c r="C2" s="7" t="s">
        <v>63</v>
      </c>
      <c r="D2" s="7" t="s">
        <v>64</v>
      </c>
      <c r="E2" s="7" t="s">
        <v>65</v>
      </c>
      <c r="F2" s="8" t="s">
        <v>66</v>
      </c>
    </row>
    <row r="3" spans="1:8" x14ac:dyDescent="0.35">
      <c r="A3" s="5" t="s">
        <v>33</v>
      </c>
      <c r="B3" s="7">
        <v>120000</v>
      </c>
      <c r="C3" s="7">
        <v>135000</v>
      </c>
      <c r="D3" s="7">
        <v>142000</v>
      </c>
      <c r="E3" s="7">
        <v>150000</v>
      </c>
      <c r="F3" s="8">
        <v>165000</v>
      </c>
      <c r="H3">
        <f>HLOOKUP(D2,Table5[],2,FALSE)</f>
        <v>142000</v>
      </c>
    </row>
    <row r="4" spans="1:8" x14ac:dyDescent="0.35">
      <c r="A4" s="5" t="s">
        <v>67</v>
      </c>
      <c r="B4" s="7">
        <v>24000</v>
      </c>
      <c r="C4" s="7">
        <v>27000</v>
      </c>
      <c r="D4" s="7">
        <v>28400</v>
      </c>
      <c r="E4" s="7">
        <v>30000</v>
      </c>
      <c r="F4" s="8">
        <v>33000</v>
      </c>
      <c r="H4">
        <f>HLOOKUP(F2,Table5[],3,FALSE)</f>
        <v>33000</v>
      </c>
    </row>
    <row r="5" spans="1:8" x14ac:dyDescent="0.35">
      <c r="A5" s="9" t="s">
        <v>68</v>
      </c>
      <c r="B5" s="11">
        <v>120</v>
      </c>
      <c r="C5" s="11">
        <v>135</v>
      </c>
      <c r="D5" s="11">
        <v>142</v>
      </c>
      <c r="E5" s="11">
        <v>150</v>
      </c>
      <c r="F5" s="12">
        <v>165</v>
      </c>
      <c r="H5">
        <f>HLOOKUP(E2,Table5[],4,FALSE)</f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1" width="30" customWidth="1"/>
  </cols>
  <sheetData>
    <row r="1" spans="1:1" x14ac:dyDescent="0.35">
      <c r="A1" s="1" t="s">
        <v>69</v>
      </c>
    </row>
    <row r="2" spans="1:1" x14ac:dyDescent="0.35">
      <c r="A2" t="s">
        <v>70</v>
      </c>
    </row>
    <row r="3" spans="1:1" x14ac:dyDescent="0.35">
      <c r="A3" t="s">
        <v>71</v>
      </c>
    </row>
    <row r="4" spans="1:1" x14ac:dyDescent="0.35">
      <c r="A4" t="s">
        <v>72</v>
      </c>
    </row>
    <row r="5" spans="1:1" x14ac:dyDescent="0.35">
      <c r="A5" t="s">
        <v>73</v>
      </c>
    </row>
    <row r="6" spans="1:1" x14ac:dyDescent="0.35">
      <c r="A6" t="s">
        <v>74</v>
      </c>
    </row>
    <row r="7" spans="1:1" x14ac:dyDescent="0.35">
      <c r="A7" t="s">
        <v>75</v>
      </c>
    </row>
    <row r="8" spans="1:1" x14ac:dyDescent="0.35">
      <c r="A8" t="s">
        <v>76</v>
      </c>
    </row>
    <row r="9" spans="1:1" x14ac:dyDescent="0.35">
      <c r="A9" t="s">
        <v>77</v>
      </c>
    </row>
    <row r="10" spans="1:1" x14ac:dyDescent="0.35">
      <c r="A10" t="s">
        <v>78</v>
      </c>
    </row>
    <row r="11" spans="1:1" x14ac:dyDescent="0.35">
      <c r="A11" t="s">
        <v>79</v>
      </c>
    </row>
    <row r="12" spans="1:1" x14ac:dyDescent="0.35">
      <c r="A12" t="s">
        <v>80</v>
      </c>
    </row>
  </sheetData>
  <autoFilter ref="A1:A1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Employees</vt:lpstr>
      <vt:lpstr>Orders</vt:lpstr>
      <vt:lpstr>Practice</vt:lpstr>
      <vt:lpstr>HLookup_Practice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sadnan adiyattil</cp:lastModifiedBy>
  <dcterms:created xsi:type="dcterms:W3CDTF">2026-09-15T05:55:28Z</dcterms:created>
  <dcterms:modified xsi:type="dcterms:W3CDTF">2026-09-17T06:43:45Z</dcterms:modified>
</cp:coreProperties>
</file>
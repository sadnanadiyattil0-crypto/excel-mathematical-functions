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b8b5c635fbe98b/Desktop/data analyisis/"/>
    </mc:Choice>
  </mc:AlternateContent>
  <xr:revisionPtr revIDLastSave="81" documentId="8_{341656C8-BC86-4CC6-A57C-FCBDAFE44108}" xr6:coauthVersionLast="47" xr6:coauthVersionMax="47" xr10:uidLastSave="{588D9F7D-8CFB-45C7-B32D-1731BD36A62C}"/>
  <bookViews>
    <workbookView xWindow="-110" yWindow="-110" windowWidth="19420" windowHeight="10300" xr2:uid="{C2E4A379-24C8-4ECB-AC52-37877C540CB7}"/>
  </bookViews>
  <sheets>
    <sheet name="DATASET" sheetId="3" r:id="rId1"/>
    <sheet name="Sheet4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" i="3" l="1" a="1"/>
  <c r="V3" i="3" s="1"/>
  <c r="V4" i="3" a="1"/>
  <c r="V4" i="3"/>
  <c r="V5" i="3" a="1"/>
  <c r="V5" i="3" s="1"/>
  <c r="V6" i="3" a="1"/>
  <c r="V6" i="3"/>
  <c r="V7" i="3" a="1"/>
  <c r="V7" i="3" s="1"/>
  <c r="V8" i="3" a="1"/>
  <c r="V8" i="3"/>
  <c r="V9" i="3" a="1"/>
  <c r="V9" i="3" s="1"/>
  <c r="V10" i="3" a="1"/>
  <c r="V10" i="3"/>
  <c r="V11" i="3" a="1"/>
  <c r="V11" i="3" s="1"/>
  <c r="V12" i="3" a="1"/>
  <c r="V12" i="3"/>
  <c r="V13" i="3" a="1"/>
  <c r="V13" i="3" s="1"/>
  <c r="V14" i="3" a="1"/>
  <c r="V14" i="3"/>
  <c r="V15" i="3" a="1"/>
  <c r="V15" i="3" s="1"/>
  <c r="V16" i="3" a="1"/>
  <c r="V16" i="3"/>
  <c r="V17" i="3" a="1"/>
  <c r="V17" i="3" s="1"/>
  <c r="V18" i="3" a="1"/>
  <c r="V18" i="3"/>
  <c r="V19" i="3" a="1"/>
  <c r="V19" i="3" s="1"/>
  <c r="V20" i="3" a="1"/>
  <c r="V20" i="3"/>
  <c r="V21" i="3" a="1"/>
  <c r="V21" i="3" s="1"/>
  <c r="V2" i="3" a="1"/>
  <c r="V2" i="3" s="1"/>
  <c r="P3" i="3" a="1"/>
  <c r="P3" i="3" s="1"/>
  <c r="P4" i="3" a="1"/>
  <c r="P4" i="3"/>
  <c r="P5" i="3" a="1"/>
  <c r="P5" i="3" s="1"/>
  <c r="P6" i="3" a="1"/>
  <c r="P6" i="3"/>
  <c r="P7" i="3" a="1"/>
  <c r="P7" i="3" s="1"/>
  <c r="P8" i="3" a="1"/>
  <c r="P8" i="3"/>
  <c r="P9" i="3" a="1"/>
  <c r="P9" i="3" s="1"/>
  <c r="P10" i="3" a="1"/>
  <c r="P10" i="3"/>
  <c r="P11" i="3" a="1"/>
  <c r="P11" i="3" s="1"/>
  <c r="P12" i="3" a="1"/>
  <c r="P12" i="3"/>
  <c r="P13" i="3" a="1"/>
  <c r="P13" i="3" s="1"/>
  <c r="P14" i="3" a="1"/>
  <c r="P14" i="3"/>
  <c r="P15" i="3" a="1"/>
  <c r="P15" i="3" s="1"/>
  <c r="P16" i="3" a="1"/>
  <c r="P16" i="3"/>
  <c r="P17" i="3" a="1"/>
  <c r="P17" i="3" s="1"/>
  <c r="P18" i="3" a="1"/>
  <c r="P18" i="3"/>
  <c r="P19" i="3" a="1"/>
  <c r="P19" i="3" s="1"/>
  <c r="P20" i="3" a="1"/>
  <c r="P20" i="3"/>
  <c r="P21" i="3" a="1"/>
  <c r="P21" i="3" s="1"/>
  <c r="P2" i="3" a="1"/>
  <c r="P2" i="3" s="1"/>
  <c r="L3" i="3" a="1"/>
  <c r="L3" i="3" s="1"/>
  <c r="L4" i="3" a="1"/>
  <c r="L4" i="3"/>
  <c r="L5" i="3" a="1"/>
  <c r="L5" i="3" s="1"/>
  <c r="L6" i="3" a="1"/>
  <c r="L6" i="3"/>
  <c r="L7" i="3" a="1"/>
  <c r="L7" i="3" s="1"/>
  <c r="L8" i="3" a="1"/>
  <c r="L8" i="3" s="1"/>
  <c r="L9" i="3" a="1"/>
  <c r="L9" i="3" s="1"/>
  <c r="L10" i="3" a="1"/>
  <c r="L10" i="3"/>
  <c r="L11" i="3" a="1"/>
  <c r="L11" i="3" s="1"/>
  <c r="L12" i="3" a="1"/>
  <c r="L12" i="3"/>
  <c r="L13" i="3" a="1"/>
  <c r="L13" i="3" s="1"/>
  <c r="L14" i="3" a="1"/>
  <c r="L14" i="3"/>
  <c r="L15" i="3" a="1"/>
  <c r="L15" i="3" s="1"/>
  <c r="L16" i="3" a="1"/>
  <c r="L16" i="3" s="1"/>
  <c r="L17" i="3" a="1"/>
  <c r="L17" i="3" s="1"/>
  <c r="L18" i="3" a="1"/>
  <c r="L18" i="3"/>
  <c r="L19" i="3" a="1"/>
  <c r="L19" i="3" s="1"/>
  <c r="L20" i="3" a="1"/>
  <c r="L20" i="3"/>
  <c r="L21" i="3" a="1"/>
  <c r="L21" i="3" s="1"/>
  <c r="L2" i="3" a="1"/>
  <c r="L2" i="3" s="1"/>
  <c r="F3" i="3" a="1"/>
  <c r="F3" i="3" s="1"/>
  <c r="F4" i="3" a="1"/>
  <c r="F4" i="3"/>
  <c r="F5" i="3" a="1"/>
  <c r="F5" i="3" s="1"/>
  <c r="F6" i="3" a="1"/>
  <c r="F6" i="3" s="1"/>
  <c r="F7" i="3" a="1"/>
  <c r="F7" i="3" s="1"/>
  <c r="F8" i="3" a="1"/>
  <c r="F8" i="3"/>
  <c r="F9" i="3" a="1"/>
  <c r="F9" i="3" s="1"/>
  <c r="F10" i="3" a="1"/>
  <c r="F10" i="3"/>
  <c r="F11" i="3" a="1"/>
  <c r="F11" i="3" s="1"/>
  <c r="F12" i="3" a="1"/>
  <c r="F12" i="3"/>
  <c r="F13" i="3" a="1"/>
  <c r="F13" i="3" s="1"/>
  <c r="F14" i="3" a="1"/>
  <c r="F14" i="3"/>
  <c r="F15" i="3" a="1"/>
  <c r="F15" i="3" s="1"/>
  <c r="F16" i="3" a="1"/>
  <c r="F16" i="3"/>
  <c r="F17" i="3" a="1"/>
  <c r="F17" i="3" s="1"/>
  <c r="F18" i="3" a="1"/>
  <c r="F18" i="3"/>
  <c r="F19" i="3" a="1"/>
  <c r="F19" i="3" s="1"/>
  <c r="F20" i="3" a="1"/>
  <c r="F20" i="3"/>
  <c r="F21" i="3" a="1"/>
  <c r="F21" i="3" s="1"/>
  <c r="F2" i="3" a="1"/>
  <c r="F2" i="3"/>
  <c r="N2" i="3" a="1"/>
  <c r="N2" i="3" s="1"/>
  <c r="N3" i="3" a="1"/>
  <c r="N3" i="3" s="1"/>
  <c r="N4" i="3" a="1"/>
  <c r="N4" i="3"/>
  <c r="N5" i="3" a="1"/>
  <c r="N5" i="3" s="1"/>
  <c r="N6" i="3" a="1"/>
  <c r="N6" i="3" s="1"/>
  <c r="N7" i="3" a="1"/>
  <c r="N7" i="3" s="1"/>
  <c r="N8" i="3" a="1"/>
  <c r="N8" i="3" s="1"/>
  <c r="N9" i="3" a="1"/>
  <c r="N9" i="3" s="1"/>
  <c r="N10" i="3" a="1"/>
  <c r="N10" i="3" s="1"/>
  <c r="N11" i="3" a="1"/>
  <c r="N11" i="3" s="1"/>
  <c r="N12" i="3" a="1"/>
  <c r="N12" i="3" s="1"/>
  <c r="N13" i="3" a="1"/>
  <c r="N13" i="3" s="1"/>
  <c r="N14" i="3" a="1"/>
  <c r="N14" i="3" s="1"/>
  <c r="N15" i="3" a="1"/>
  <c r="N15" i="3" s="1"/>
  <c r="N16" i="3" a="1"/>
  <c r="N16" i="3" s="1"/>
  <c r="N17" i="3" a="1"/>
  <c r="N17" i="3" s="1"/>
  <c r="N18" i="3" a="1"/>
  <c r="N18" i="3" s="1"/>
  <c r="N19" i="3" a="1"/>
  <c r="N19" i="3" s="1"/>
  <c r="N20" i="3" a="1"/>
  <c r="N20" i="3" s="1"/>
  <c r="N21" i="3" a="1"/>
  <c r="N21" i="3" s="1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U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B29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" i="3"/>
  <c r="R18" i="3"/>
  <c r="R19" i="3"/>
  <c r="R20" i="3"/>
  <c r="R21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2" i="3"/>
  <c r="B28" i="3"/>
  <c r="B27" i="3"/>
  <c r="B26" i="3"/>
  <c r="B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<sst xmlns="http://schemas.openxmlformats.org/spreadsheetml/2006/main" count="131" uniqueCount="98">
  <si>
    <t>Employee_ID</t>
  </si>
  <si>
    <t>Employee_Name</t>
  </si>
  <si>
    <t>Department</t>
  </si>
  <si>
    <t>Location</t>
  </si>
  <si>
    <t>Experience_Years</t>
  </si>
  <si>
    <t>Basic_Salary</t>
  </si>
  <si>
    <t>Bonus</t>
  </si>
  <si>
    <t>Sales_Target</t>
  </si>
  <si>
    <t>Sales_Achieved</t>
  </si>
  <si>
    <t>Performance_Score</t>
  </si>
  <si>
    <t>Attendance_%</t>
  </si>
  <si>
    <t>Overtime_Hours</t>
  </si>
  <si>
    <t>E001</t>
  </si>
  <si>
    <t>Arjun</t>
  </si>
  <si>
    <t>Sales</t>
  </si>
  <si>
    <t>Kochi</t>
  </si>
  <si>
    <t>E002</t>
  </si>
  <si>
    <t>Meera</t>
  </si>
  <si>
    <t>HR</t>
  </si>
  <si>
    <t>Calicut</t>
  </si>
  <si>
    <t>E003</t>
  </si>
  <si>
    <t>Rahul</t>
  </si>
  <si>
    <t>IT</t>
  </si>
  <si>
    <t>E004</t>
  </si>
  <si>
    <t>Anjali</t>
  </si>
  <si>
    <t>Finance</t>
  </si>
  <si>
    <t>Bangalore</t>
  </si>
  <si>
    <t>E005</t>
  </si>
  <si>
    <t>Nikhil</t>
  </si>
  <si>
    <t>E006</t>
  </si>
  <si>
    <t>Fathima</t>
  </si>
  <si>
    <t>E007</t>
  </si>
  <si>
    <t>Vishnu</t>
  </si>
  <si>
    <t>E008</t>
  </si>
  <si>
    <t>Sneha</t>
  </si>
  <si>
    <t>E009</t>
  </si>
  <si>
    <t>Adil</t>
  </si>
  <si>
    <t>E010</t>
  </si>
  <si>
    <t>Diya</t>
  </si>
  <si>
    <t>E011</t>
  </si>
  <si>
    <t>Akhil</t>
  </si>
  <si>
    <t>E012</t>
  </si>
  <si>
    <t>Hiba</t>
  </si>
  <si>
    <t>E013</t>
  </si>
  <si>
    <t>Sreejith</t>
  </si>
  <si>
    <t>E014</t>
  </si>
  <si>
    <t>Ayesha</t>
  </si>
  <si>
    <t>E015</t>
  </si>
  <si>
    <t>Manu</t>
  </si>
  <si>
    <t>E016</t>
  </si>
  <si>
    <t>Reshma</t>
  </si>
  <si>
    <t>E017</t>
  </si>
  <si>
    <t>Jithin</t>
  </si>
  <si>
    <t>E018</t>
  </si>
  <si>
    <t>Amritha</t>
  </si>
  <si>
    <t>E019</t>
  </si>
  <si>
    <t>Salman</t>
  </si>
  <si>
    <t>E020</t>
  </si>
  <si>
    <t>Keerthi</t>
  </si>
  <si>
    <t>No.</t>
  </si>
  <si>
    <t>Task</t>
  </si>
  <si>
    <t>Calculate the total Basic Salary of all employees.</t>
  </si>
  <si>
    <t>Find the minimum Basic Salary.</t>
  </si>
  <si>
    <t>Find the maximum Basic Salary.</t>
  </si>
  <si>
    <t>Calculate the total Bonus paid to all employees.</t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</si>
  <si>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by adding Basic Salary and Bonus.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</si>
  <si>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Target Status</t>
    </r>
    <r>
      <rPr>
        <sz val="11"/>
        <color theme="1"/>
        <rFont val="Calibri"/>
        <family val="2"/>
        <scheme val="minor"/>
      </rPr>
      <t xml:space="preserve">: If Sales Achieved ≥ Sales Target, display </t>
    </r>
    <r>
      <rPr>
        <b/>
        <sz val="11"/>
        <color theme="1"/>
        <rFont val="Calibri"/>
        <family val="2"/>
        <scheme val="minor"/>
      </rPr>
      <t>Achieved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Achieved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</si>
  <si>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Performance Level</t>
    </r>
    <r>
      <rPr>
        <sz val="11"/>
        <color theme="1"/>
        <rFont val="Calibri"/>
        <family val="2"/>
        <scheme val="minor"/>
      </rPr>
      <t xml:space="preserve">: If Performance Score ≥ 85 AND Attendance ≥ 90, display </t>
    </r>
    <r>
      <rPr>
        <b/>
        <sz val="11"/>
        <color theme="1"/>
        <rFont val="Calibri"/>
        <family val="2"/>
        <scheme val="minor"/>
      </rPr>
      <t>Excellent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Needs Improvement</t>
    </r>
    <r>
      <rPr>
        <sz val="11"/>
        <color theme="1"/>
        <rFont val="Calibri"/>
        <family val="2"/>
        <scheme val="minor"/>
      </rPr>
      <t>.</t>
    </r>
  </si>
  <si>
    <r>
      <t xml:space="preserve">Create a new column </t>
    </r>
    <r>
      <rPr>
        <b/>
        <sz val="11"/>
        <color theme="1"/>
        <rFont val="Calibri"/>
        <family val="2"/>
        <scheme val="minor"/>
      </rPr>
      <t>Eligibility</t>
    </r>
    <r>
      <rPr>
        <sz val="11"/>
        <color theme="1"/>
        <rFont val="Calibri"/>
        <family val="2"/>
        <scheme val="minor"/>
      </rPr>
      <t xml:space="preserve">: If Department is IT OR Finance, display </t>
    </r>
    <r>
      <rPr>
        <b/>
        <sz val="11"/>
        <color theme="1"/>
        <rFont val="Calibri"/>
        <family val="2"/>
        <scheme val="minor"/>
      </rPr>
      <t>Eligible</t>
    </r>
    <r>
      <rPr>
        <sz val="11"/>
        <color theme="1"/>
        <rFont val="Calibri"/>
        <family val="2"/>
        <scheme val="minor"/>
      </rPr>
      <t xml:space="preserve">, otherwise </t>
    </r>
    <r>
      <rPr>
        <b/>
        <sz val="11"/>
        <color theme="1"/>
        <rFont val="Calibri"/>
        <family val="2"/>
        <scheme val="minor"/>
      </rPr>
      <t>Not Eligible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</si>
  <si>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</si>
  <si>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Bonus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</si>
  <si>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Calculate the total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</si>
  <si>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</t>
    </r>
    <r>
      <rPr>
        <b/>
        <sz val="11"/>
        <color theme="1"/>
        <rFont val="Calibri"/>
        <family val="2"/>
        <scheme val="minor"/>
      </rPr>
      <t>Sales employees in Calicut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</si>
  <si>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employees whose Performance Score is </t>
    </r>
    <r>
      <rPr>
        <b/>
        <sz val="11"/>
        <color theme="1"/>
        <rFont val="Calibri"/>
        <family val="2"/>
        <scheme val="minor"/>
      </rPr>
      <t>90 or above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</si>
  <si>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</si>
  <si>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Count the number of employees located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</si>
  <si>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whose Performance Score is </t>
    </r>
    <r>
      <rPr>
        <b/>
        <sz val="11"/>
        <color theme="1"/>
        <rFont val="Calibri"/>
        <family val="2"/>
        <scheme val="minor"/>
      </rPr>
      <t>85 or above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</si>
  <si>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whose Attendance is </t>
    </r>
    <r>
      <rPr>
        <b/>
        <sz val="11"/>
        <color theme="1"/>
        <rFont val="Calibri"/>
        <family val="2"/>
        <scheme val="minor"/>
      </rPr>
      <t>95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</si>
  <si>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employees in the </t>
    </r>
    <r>
      <rPr>
        <b/>
        <sz val="11"/>
        <color theme="1"/>
        <rFont val="Calibri"/>
        <family val="2"/>
        <scheme val="minor"/>
      </rPr>
      <t>Sales</t>
    </r>
    <r>
      <rPr>
        <sz val="11"/>
        <color theme="1"/>
        <rFont val="Calibri"/>
        <family val="2"/>
        <scheme val="minor"/>
      </rPr>
      <t xml:space="preserve"> department.</t>
    </r>
  </si>
  <si>
    <r>
      <t xml:space="preserve">Find the average Performance Score of employees in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>.</t>
    </r>
  </si>
  <si>
    <r>
      <t xml:space="preserve">Find the average Sales Achieved by employees in </t>
    </r>
    <r>
      <rPr>
        <b/>
        <sz val="11"/>
        <color theme="1"/>
        <rFont val="Calibri"/>
        <family val="2"/>
        <scheme val="minor"/>
      </rPr>
      <t>Kochi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</si>
  <si>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Basic Salary of employees with </t>
    </r>
    <r>
      <rPr>
        <b/>
        <sz val="11"/>
        <color theme="1"/>
        <rFont val="Calibri"/>
        <family val="2"/>
        <scheme val="minor"/>
      </rPr>
      <t>5 or more years of experience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</si>
  <si>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Sales Achieved by </t>
    </r>
    <r>
      <rPr>
        <b/>
        <sz val="11"/>
        <color theme="1"/>
        <rFont val="Calibri"/>
        <family val="2"/>
        <scheme val="minor"/>
      </rPr>
      <t>IT employees in Bangalore</t>
    </r>
    <r>
      <rPr>
        <sz val="11"/>
        <color theme="1"/>
        <rFont val="Calibri"/>
        <family val="2"/>
        <scheme val="minor"/>
      </rPr>
      <t>.</t>
    </r>
  </si>
  <si>
    <r>
      <t xml:space="preserve">Calculate the total Bonus of </t>
    </r>
    <r>
      <rPr>
        <b/>
        <sz val="11"/>
        <color theme="1"/>
        <rFont val="Calibri"/>
        <family val="2"/>
        <scheme val="minor"/>
      </rPr>
      <t>Sales employees with Performance Score ≥ 85</t>
    </r>
    <r>
      <rPr>
        <sz val="11"/>
        <color theme="1"/>
        <rFont val="Calibri"/>
        <family val="2"/>
        <scheme val="minor"/>
      </rPr>
      <t>.</t>
    </r>
  </si>
  <si>
    <r>
      <t xml:space="preserve">Count the number of employees in </t>
    </r>
    <r>
      <rPr>
        <b/>
        <sz val="11"/>
        <color theme="1"/>
        <rFont val="Calibri"/>
        <family val="2"/>
        <scheme val="minor"/>
      </rPr>
      <t>Calicut</t>
    </r>
    <r>
      <rPr>
        <sz val="11"/>
        <color theme="1"/>
        <rFont val="Calibri"/>
        <family val="2"/>
        <scheme val="minor"/>
      </rPr>
      <t xml:space="preserve"> whose Performance Score is </t>
    </r>
    <r>
      <rPr>
        <b/>
        <sz val="11"/>
        <color theme="1"/>
        <rFont val="Calibri"/>
        <family val="2"/>
        <scheme val="minor"/>
      </rPr>
      <t>80 or above</t>
    </r>
    <r>
      <rPr>
        <sz val="11"/>
        <color theme="1"/>
        <rFont val="Calibri"/>
        <family val="2"/>
        <scheme val="minor"/>
      </rPr>
      <t>.</t>
    </r>
  </si>
  <si>
    <r>
      <t xml:space="preserve">Find the average Basic Salary of </t>
    </r>
    <r>
      <rPr>
        <b/>
        <sz val="11"/>
        <color theme="1"/>
        <rFont val="Calibri"/>
        <family val="2"/>
        <scheme val="minor"/>
      </rPr>
      <t>Finance employees in Bangalore</t>
    </r>
    <r>
      <rPr>
        <sz val="11"/>
        <color theme="1"/>
        <rFont val="Calibri"/>
        <family val="2"/>
        <scheme val="minor"/>
      </rPr>
      <t>.</t>
    </r>
  </si>
  <si>
    <t>q;no</t>
  </si>
  <si>
    <t>answer</t>
  </si>
  <si>
    <t>total saary</t>
  </si>
  <si>
    <t>target stutas</t>
  </si>
  <si>
    <t>performance level</t>
  </si>
  <si>
    <t>eligibillity,,,,8</t>
  </si>
  <si>
    <t>performance leval</t>
  </si>
  <si>
    <t>EXPERIENCE CATEGORY</t>
  </si>
  <si>
    <t>SALES PERFORMANCE CATEGORY</t>
  </si>
  <si>
    <t xml:space="preserve">SALE PERFORMRNCE </t>
  </si>
  <si>
    <t>attendence catogry</t>
  </si>
  <si>
    <t>employee raiting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</si>
</sst>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0" fillId="3" borderId="0" xfId="0" applyFill="1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26">
    <dxf>
      <alignment horizontal="general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A2FF38-8D96-435C-B11C-A4FE08E38A98}" name="Table1" displayName="Table1" ref="A1:V23" totalsRowShown="0" headerRowDxfId="25" dataDxfId="24">
  <autoFilter ref="A1:V23" xr:uid="{9FA2FF38-8D96-435C-B11C-A4FE08E38A98}"/>
  <tableColumns count="22">
    <tableColumn id="1" xr3:uid="{9640E894-68BC-411D-AEB3-93F2E3AE834A}" name="Employee_ID" dataDxfId="23"/>
    <tableColumn id="2" xr3:uid="{C5B2FB4B-9224-4707-9283-A51C6A3720EB}" name="Employee_Name" dataDxfId="22"/>
    <tableColumn id="3" xr3:uid="{83BE9666-42D2-41EF-A72A-4071033774D3}" name="Department" dataDxfId="21"/>
    <tableColumn id="4" xr3:uid="{983DEA2D-E0C5-4FD4-9B13-CE4074BC5950}" name="Location" dataDxfId="20"/>
    <tableColumn id="5" xr3:uid="{2E4971C7-BC79-4DE6-9AB0-42991D510C89}" name="Experience_Years" dataDxfId="19"/>
    <tableColumn id="20" xr3:uid="{051BC8EE-A691-49F8-89DB-DA01E7CFCF74}" name="EXPERIENCE CATEGORY" dataDxfId="18">
      <calculatedColumnFormula array="1">_xlfn.IFS(Table1[[#This Row],[Experience_Years]]&gt;=6,"HIGHLY EXPIRINCED",Table1[[#This Row],[Experience_Years]]&gt;=3,"EXPERINCED",Table1[[#This Row],[Experience_Years]]&gt;=1,"BEGINNER")</calculatedColumnFormula>
    </tableColumn>
    <tableColumn id="6" xr3:uid="{DDF3EF3D-E3EC-4A98-AF38-57A2C933198D}" name="Basic_Salary" dataDxfId="17"/>
    <tableColumn id="7" xr3:uid="{B8C4A0AE-6A8A-400A-978C-B7A0B2B90FB5}" name="Bonus" dataDxfId="16"/>
    <tableColumn id="8" xr3:uid="{786244AC-C6DF-4F77-8F1D-9CFB7E60B8F7}" name="Sales_Target" dataDxfId="15"/>
    <tableColumn id="21" xr3:uid="{845444C1-BF70-46B6-8AD3-EFE02EF87DE7}" name="SALES PERFORMANCE CATEGORY" dataDxfId="14"/>
    <tableColumn id="9" xr3:uid="{C5D2E986-2914-4CD6-A767-88F10EDAE2D2}" name="Sales_Achieved" dataDxfId="13"/>
    <tableColumn id="22" xr3:uid="{9F887A89-2AF3-4B3C-8B3D-C50F9CDE6743}" name="SALE PERFORMRNCE " dataDxfId="12"/>
    <tableColumn id="10" xr3:uid="{16371644-6186-45D4-895A-F94DB9DB4717}" name="Performance_Score" dataDxfId="11"/>
    <tableColumn id="19" xr3:uid="{FF4497CE-E6EC-49A6-BC94-14FBBCCBE047}" name="performance leval" dataDxfId="10">
      <calculatedColumnFormula array="1">_xlfn.IFS(Table1[[#This Row],[Performance_Score]]&gt;=90,"excllent",Table1[[#This Row],[Performance_Score]]&gt;=80,"GOOD",Table1[[#This Row],[Performance_Score]]&gt;=70,"AVERAGE",Table1[[#This Row],[Performance_Score]]&lt;70,"NEEDS IMPROVEMENT")</calculatedColumnFormula>
    </tableColumn>
    <tableColumn id="11" xr3:uid="{17AA0788-380B-4A84-A726-C5B458C169AC}" name="Attendance_%" dataDxfId="9"/>
    <tableColumn id="23" xr3:uid="{B6C91E97-E857-4FAB-B695-FBCBAF1F1EC1}" name="attendence catogry" dataDxfId="8"/>
    <tableColumn id="12" xr3:uid="{1AC1B43E-61AB-4E44-8D50-750C9FE19347}" name="Overtime_Hours" dataDxfId="7"/>
    <tableColumn id="13" xr3:uid="{0AB87014-2B51-4ACC-8312-63CA3EF1633F}" name="total saary" dataDxfId="6"/>
    <tableColumn id="14" xr3:uid="{4F768737-B673-4D78-AA33-65E5D8897107}" name="target stutas" dataDxfId="5">
      <calculatedColumnFormula>IF(Table1[[#This Row],[Sales_Achieved]]&gt;Table1[[#This Row],[Sales_Target]],"achived","not achived")</calculatedColumnFormula>
    </tableColumn>
    <tableColumn id="15" xr3:uid="{C1C62548-EF21-472B-A62D-A5BEE9C67C54}" name="performance level" dataDxfId="4">
      <calculatedColumnFormula>IF(AND(Table1[[#This Row],[Performance_Score]]&gt;85,Table1[[#This Row],[Attendance_%]]&gt;90),"excellent","need improvement")</calculatedColumnFormula>
    </tableColumn>
    <tableColumn id="16" xr3:uid="{B25ED2B3-70BE-4CDB-9FA0-DD302734C8F0}" name="eligibillity,,,,8" dataDxfId="3">
      <calculatedColumnFormula>IF(OR(Table1[[#This Row],[Department]]="IT",Table1[[#This Row],[Department]]="Finance"),"elligible","not elligible")</calculatedColumnFormula>
    </tableColumn>
    <tableColumn id="17" xr3:uid="{6F1CCF08-CE2A-47A8-A52B-DC72963FD08D}" name="employee raiting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354B0-4FAF-4E0D-8787-268736BEEDF9}" name="Table3" displayName="Table3" ref="A24:B45" totalsRowShown="0">
  <autoFilter ref="A24:B45" xr:uid="{19A354B0-4FAF-4E0D-8787-268736BEEDF9}"/>
  <tableColumns count="2">
    <tableColumn id="1" xr3:uid="{05407013-6D70-4D72-ACD3-1940FB60F0CD}" name="q;no"/>
    <tableColumn id="2" xr3:uid="{32E37C7A-2E81-4A37-A77D-BB3D4AD01155}" name="answ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DED191-2BA5-4F17-A81E-4AFF23AE2B9B}" name="Table2" displayName="Table2" ref="A1:B26" totalsRowShown="0">
  <autoFilter ref="A1:B26" xr:uid="{FADED191-2BA5-4F17-A81E-4AFF23AE2B9B}"/>
  <tableColumns count="2">
    <tableColumn id="1" xr3:uid="{44CBABA1-4746-40C0-BCED-FEF5B6C219BC}" name="No." dataDxfId="1"/>
    <tableColumn id="2" xr3:uid="{E0E553A1-0557-4275-8ACE-CA47773E1D3B}" name="Task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22A3-EAAF-4616-8502-D07194D51224}">
  <dimension ref="A1:V45"/>
  <sheetViews>
    <sheetView tabSelected="1" topLeftCell="K4" zoomScale="87" zoomScaleNormal="87" workbookViewId="0">
      <selection activeCell="V11" sqref="V11"/>
    </sheetView>
  </sheetViews>
  <sheetFormatPr defaultRowHeight="14.5" x14ac:dyDescent="0.35"/>
  <cols>
    <col min="1" max="1" width="13.81640625" customWidth="1"/>
    <col min="2" max="2" width="16.90625" customWidth="1"/>
    <col min="3" max="3" width="13.08984375" customWidth="1"/>
    <col min="4" max="4" width="9.90625" customWidth="1"/>
    <col min="5" max="5" width="17.453125" customWidth="1"/>
    <col min="6" max="7" width="23.36328125" customWidth="1"/>
    <col min="8" max="8" width="13.36328125" customWidth="1"/>
    <col min="9" max="9" width="15.54296875" customWidth="1"/>
    <col min="10" max="10" width="19.1796875" hidden="1" customWidth="1"/>
    <col min="11" max="11" width="18" customWidth="1"/>
    <col min="12" max="12" width="16.6328125" customWidth="1"/>
    <col min="13" max="13" width="16" customWidth="1"/>
    <col min="14" max="14" width="17.90625" customWidth="1"/>
    <col min="15" max="15" width="18.08984375" customWidth="1"/>
    <col min="16" max="16" width="18.1796875" customWidth="1"/>
    <col min="22" max="22" width="15.90625" customWidth="1"/>
  </cols>
  <sheetData>
    <row r="1" spans="1:2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93</v>
      </c>
      <c r="G1" s="3" t="s">
        <v>5</v>
      </c>
      <c r="H1" s="1" t="s">
        <v>6</v>
      </c>
      <c r="I1" s="3" t="s">
        <v>7</v>
      </c>
      <c r="J1" s="3" t="s">
        <v>94</v>
      </c>
      <c r="K1" s="3" t="s">
        <v>8</v>
      </c>
      <c r="L1" s="3" t="s">
        <v>95</v>
      </c>
      <c r="M1" s="3" t="s">
        <v>9</v>
      </c>
      <c r="N1" s="3" t="s">
        <v>92</v>
      </c>
      <c r="O1" s="3" t="s">
        <v>10</v>
      </c>
      <c r="P1" s="3" t="s">
        <v>96</v>
      </c>
      <c r="Q1" s="3" t="s">
        <v>11</v>
      </c>
      <c r="R1" s="3" t="s">
        <v>88</v>
      </c>
      <c r="S1" s="3" t="s">
        <v>89</v>
      </c>
      <c r="T1" s="3" t="s">
        <v>90</v>
      </c>
      <c r="U1" s="7" t="s">
        <v>91</v>
      </c>
      <c r="V1" s="5" t="s">
        <v>97</v>
      </c>
    </row>
    <row r="2" spans="1:22" ht="43.5" x14ac:dyDescent="0.35">
      <c r="A2" s="8" t="s">
        <v>12</v>
      </c>
      <c r="B2" s="8" t="s">
        <v>13</v>
      </c>
      <c r="C2" s="8" t="s">
        <v>14</v>
      </c>
      <c r="D2" s="8" t="s">
        <v>15</v>
      </c>
      <c r="E2" s="9">
        <v>2</v>
      </c>
      <c r="F2" s="9" t="str" cm="1">
        <f t="array" ref="F2">_xlfn.IFS(Table1[[#This Row],[Experience_Years]]&gt;=6,"HIGHLY EXPIRINCED",Table1[[#This Row],[Experience_Years]]&gt;=3,"EXPERINCED",Table1[[#This Row],[Experience_Years]]&gt;=1,"BEGINNER")</f>
        <v>BEGINNER</v>
      </c>
      <c r="G2" s="9">
        <v>28000</v>
      </c>
      <c r="H2" s="10">
        <v>4000</v>
      </c>
      <c r="I2" s="9">
        <v>300000</v>
      </c>
      <c r="J2" s="9"/>
      <c r="K2" s="9">
        <v>325000</v>
      </c>
      <c r="L2" s="9" t="str" cm="1">
        <f t="array" ref="L2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2" s="9">
        <v>85</v>
      </c>
      <c r="N2" s="9" t="str" cm="1">
        <f t="array" ref="N2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2" s="9">
        <v>94</v>
      </c>
      <c r="P2" s="9" t="str" cm="1">
        <f t="array" ref="P2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2" s="9">
        <v>12</v>
      </c>
      <c r="R2" s="9">
        <f>SUM(Table1[[#This Row],[Bonus]],Table1[[#This Row],[Basic_Salary]])</f>
        <v>32000</v>
      </c>
      <c r="S2" s="9" t="str">
        <f>IF(Table1[[#This Row],[Sales_Achieved]]&gt;Table1[[#This Row],[Sales_Target]],"achived","not achived")</f>
        <v>achived</v>
      </c>
      <c r="T2" s="9" t="str">
        <f>IF(AND(Table1[[#This Row],[Performance_Score]]&gt;85,Table1[[#This Row],[Attendance_%]]&gt;90),"excellent","need improvement")</f>
        <v>need improvement</v>
      </c>
      <c r="U2" s="9" t="str">
        <f>IF(OR(Table1[[#This Row],[Department]]="IT",Table1[[#This Row],[Department]]="Finance"),"elligible","not elligible")</f>
        <v>not elligible</v>
      </c>
      <c r="V2" s="9" t="str" cm="1">
        <f t="array" ref="V2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3" spans="1:22" ht="43.5" x14ac:dyDescent="0.35">
      <c r="A3" s="8" t="s">
        <v>16</v>
      </c>
      <c r="B3" s="8" t="s">
        <v>17</v>
      </c>
      <c r="C3" s="8" t="s">
        <v>18</v>
      </c>
      <c r="D3" s="8" t="s">
        <v>19</v>
      </c>
      <c r="E3" s="9">
        <v>4</v>
      </c>
      <c r="F3" s="9" t="str" cm="1">
        <f t="array" ref="F3">_xlfn.IFS(Table1[[#This Row],[Experience_Years]]&gt;=6,"HIGHLY EXPIRINCED",Table1[[#This Row],[Experience_Years]]&gt;=3,"EXPERINCED",Table1[[#This Row],[Experience_Years]]&gt;=1,"BEGINNER")</f>
        <v>EXPERINCED</v>
      </c>
      <c r="G3" s="9">
        <v>35000</v>
      </c>
      <c r="H3" s="10">
        <v>3500</v>
      </c>
      <c r="I3" s="9">
        <v>150000</v>
      </c>
      <c r="J3" s="9"/>
      <c r="K3" s="9">
        <v>142000</v>
      </c>
      <c r="L3" s="9" t="str" cm="1">
        <f t="array" ref="L3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M3" s="9">
        <v>78</v>
      </c>
      <c r="N3" s="9" t="str" cm="1">
        <f t="array" ref="N3">_xlfn.IFS(Table1[[#This Row],[Performance_Score]]&gt;=90,"excllent",Table1[[#This Row],[Performance_Score]]&gt;=80,"GOOD",Table1[[#This Row],[Performance_Score]]&gt;=70,"AVERAGE",Table1[[#This Row],[Performance_Score]]&lt;70,"NEEDS IMPROVEMENT")</f>
        <v>AVERAGE</v>
      </c>
      <c r="O3" s="9">
        <v>91</v>
      </c>
      <c r="P3" s="9" t="str" cm="1">
        <f t="array" ref="P3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3" s="9">
        <v>8</v>
      </c>
      <c r="R3" s="9">
        <f>SUM(Table1[[#This Row],[Bonus]],Table1[[#This Row],[Basic_Salary]])</f>
        <v>38500</v>
      </c>
      <c r="S3" s="9" t="str">
        <f>IF(Table1[[#This Row],[Sales_Achieved]]&gt;Table1[[#This Row],[Sales_Target]],"achived","not achived")</f>
        <v>not achived</v>
      </c>
      <c r="T3" s="9" t="str">
        <f>IF(AND(Table1[[#This Row],[Performance_Score]]&gt;85,Table1[[#This Row],[Attendance_%]]&gt;90),"excellent","need improvement")</f>
        <v>need improvement</v>
      </c>
      <c r="U3" s="9" t="str">
        <f>IF(OR(Table1[[#This Row],[Department]]="IT",Table1[[#This Row],[Department]]="Finance"),"elligible","not elligible")</f>
        <v>not elligible</v>
      </c>
      <c r="V3" s="9" t="str" cm="1">
        <f t="array" ref="V3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satisfactory</v>
      </c>
    </row>
    <row r="4" spans="1:22" x14ac:dyDescent="0.35">
      <c r="A4" s="8" t="s">
        <v>20</v>
      </c>
      <c r="B4" s="8" t="s">
        <v>21</v>
      </c>
      <c r="C4" s="8" t="s">
        <v>22</v>
      </c>
      <c r="D4" s="8" t="s">
        <v>15</v>
      </c>
      <c r="E4" s="9">
        <v>3</v>
      </c>
      <c r="F4" s="9" t="str" cm="1">
        <f t="array" ref="F4">_xlfn.IFS(Table1[[#This Row],[Experience_Years]]&gt;=6,"HIGHLY EXPIRINCED",Table1[[#This Row],[Experience_Years]]&gt;=3,"EXPERINCED",Table1[[#This Row],[Experience_Years]]&gt;=1,"BEGINNER")</f>
        <v>EXPERINCED</v>
      </c>
      <c r="G4" s="9">
        <v>42000</v>
      </c>
      <c r="H4" s="10">
        <v>6000</v>
      </c>
      <c r="I4" s="9">
        <v>250000</v>
      </c>
      <c r="J4" s="9"/>
      <c r="K4" s="9">
        <v>275000</v>
      </c>
      <c r="L4" s="9" t="str" cm="1">
        <f t="array" ref="L4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4" s="9">
        <v>92</v>
      </c>
      <c r="N4" s="9" t="str" cm="1">
        <f t="array" ref="N4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4" s="9">
        <v>97</v>
      </c>
      <c r="P4" s="9" t="str" cm="1">
        <f t="array" ref="P4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4" s="9">
        <v>15</v>
      </c>
      <c r="R4" s="9">
        <f>SUM(Table1[[#This Row],[Bonus]],Table1[[#This Row],[Basic_Salary]])</f>
        <v>48000</v>
      </c>
      <c r="S4" s="9" t="str">
        <f>IF(Table1[[#This Row],[Sales_Achieved]]&gt;Table1[[#This Row],[Sales_Target]],"achived","not achived")</f>
        <v>achived</v>
      </c>
      <c r="T4" s="9" t="str">
        <f>IF(AND(Table1[[#This Row],[Performance_Score]]&gt;85,Table1[[#This Row],[Attendance_%]]&gt;90),"excellent","need improvement")</f>
        <v>excellent</v>
      </c>
      <c r="U4" s="9" t="str">
        <f>IF(OR(Table1[[#This Row],[Department]]="IT",Table1[[#This Row],[Department]]="Finance"),"elligible","not elligible")</f>
        <v>elligible</v>
      </c>
      <c r="V4" s="9" t="str" cm="1">
        <f t="array" ref="V4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excllent</v>
      </c>
    </row>
    <row r="5" spans="1:22" x14ac:dyDescent="0.35">
      <c r="A5" s="8" t="s">
        <v>23</v>
      </c>
      <c r="B5" s="8" t="s">
        <v>24</v>
      </c>
      <c r="C5" s="8" t="s">
        <v>25</v>
      </c>
      <c r="D5" s="8" t="s">
        <v>26</v>
      </c>
      <c r="E5" s="9">
        <v>5</v>
      </c>
      <c r="F5" s="9" t="str" cm="1">
        <f t="array" ref="F5">_xlfn.IFS(Table1[[#This Row],[Experience_Years]]&gt;=6,"HIGHLY EXPIRINCED",Table1[[#This Row],[Experience_Years]]&gt;=3,"EXPERINCED",Table1[[#This Row],[Experience_Years]]&gt;=1,"BEGINNER")</f>
        <v>EXPERINCED</v>
      </c>
      <c r="G5" s="9">
        <v>48000</v>
      </c>
      <c r="H5" s="10">
        <v>5500</v>
      </c>
      <c r="I5" s="9">
        <v>200000</v>
      </c>
      <c r="J5" s="9"/>
      <c r="K5" s="9">
        <v>210000</v>
      </c>
      <c r="L5" s="9" t="str" cm="1">
        <f t="array" ref="L5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5" s="9">
        <v>88</v>
      </c>
      <c r="N5" s="9" t="str" cm="1">
        <f t="array" ref="N5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5" s="9">
        <v>95</v>
      </c>
      <c r="P5" s="9" t="str" cm="1">
        <f t="array" ref="P5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5" s="9">
        <v>10</v>
      </c>
      <c r="R5" s="9">
        <f>SUM(Table1[[#This Row],[Bonus]],Table1[[#This Row],[Basic_Salary]])</f>
        <v>53500</v>
      </c>
      <c r="S5" s="9" t="str">
        <f>IF(Table1[[#This Row],[Sales_Achieved]]&gt;Table1[[#This Row],[Sales_Target]],"achived","not achived")</f>
        <v>achived</v>
      </c>
      <c r="T5" s="9" t="str">
        <f>IF(AND(Table1[[#This Row],[Performance_Score]]&gt;85,Table1[[#This Row],[Attendance_%]]&gt;90),"excellent","need improvement")</f>
        <v>excellent</v>
      </c>
      <c r="U5" s="9" t="str">
        <f>IF(OR(Table1[[#This Row],[Department]]="IT",Table1[[#This Row],[Department]]="Finance"),"elligible","not elligible")</f>
        <v>elligible</v>
      </c>
      <c r="V5" s="9" t="str" cm="1">
        <f t="array" ref="V5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6" spans="1:22" ht="43.5" x14ac:dyDescent="0.35">
      <c r="A6" s="8" t="s">
        <v>27</v>
      </c>
      <c r="B6" s="8" t="s">
        <v>28</v>
      </c>
      <c r="C6" s="8" t="s">
        <v>14</v>
      </c>
      <c r="D6" s="8" t="s">
        <v>19</v>
      </c>
      <c r="E6" s="9">
        <v>1</v>
      </c>
      <c r="F6" s="9" t="str" cm="1">
        <f t="array" ref="F6">_xlfn.IFS(Table1[[#This Row],[Experience_Years]]&gt;=6,"HIGHLY EXPIRINCED",Table1[[#This Row],[Experience_Years]]&gt;=3,"EXPERINCED",Table1[[#This Row],[Experience_Years]]&gt;=1,"BEGINNER")</f>
        <v>BEGINNER</v>
      </c>
      <c r="G6" s="9">
        <v>26000</v>
      </c>
      <c r="H6" s="10">
        <v>3000</v>
      </c>
      <c r="I6" s="9">
        <v>280000</v>
      </c>
      <c r="J6" s="9"/>
      <c r="K6" s="9">
        <v>250000</v>
      </c>
      <c r="L6" s="9" t="str" cm="1">
        <f t="array" ref="L6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BELOW TARGET</v>
      </c>
      <c r="M6" s="9">
        <v>69</v>
      </c>
      <c r="N6" s="9" t="str" cm="1">
        <f t="array" ref="N6">_xlfn.IFS(Table1[[#This Row],[Performance_Score]]&gt;=90,"excllent",Table1[[#This Row],[Performance_Score]]&gt;=80,"GOOD",Table1[[#This Row],[Performance_Score]]&gt;=70,"AVERAGE",Table1[[#This Row],[Performance_Score]]&lt;70,"NEEDS IMPROVEMENT")</f>
        <v>NEEDS IMPROVEMENT</v>
      </c>
      <c r="O6" s="9">
        <v>86</v>
      </c>
      <c r="P6" s="9" t="str" cm="1">
        <f t="array" ref="P6">_xlfn.IFS(Table1[[#This Row],[Attendance_%]]&gt;=95,"exclent attaendance",Table1[[#This Row],[Attendance_%]]&gt;=90,"good attandance",Table1[[#This Row],[Attendance_%]]&gt;=85,"avg attandance",Table1[[#This Row],[Attendance_%]]&lt;85,"poor attandance")</f>
        <v>avg attandance</v>
      </c>
      <c r="Q6" s="9">
        <v>6</v>
      </c>
      <c r="R6" s="9">
        <f>SUM(Table1[[#This Row],[Bonus]],Table1[[#This Row],[Basic_Salary]])</f>
        <v>29000</v>
      </c>
      <c r="S6" s="9" t="str">
        <f>IF(Table1[[#This Row],[Sales_Achieved]]&gt;Table1[[#This Row],[Sales_Target]],"achived","not achived")</f>
        <v>not achived</v>
      </c>
      <c r="T6" s="9" t="str">
        <f>IF(AND(Table1[[#This Row],[Performance_Score]]&gt;85,Table1[[#This Row],[Attendance_%]]&gt;90),"excellent","need improvement")</f>
        <v>need improvement</v>
      </c>
      <c r="U6" s="9" t="str">
        <f>IF(OR(Table1[[#This Row],[Department]]="IT",Table1[[#This Row],[Department]]="Finance"),"elligible","not elligible")</f>
        <v>not elligible</v>
      </c>
      <c r="V6" s="9" t="str" cm="1">
        <f t="array" ref="V6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needs improvement</v>
      </c>
    </row>
    <row r="7" spans="1:22" x14ac:dyDescent="0.35">
      <c r="A7" s="8" t="s">
        <v>29</v>
      </c>
      <c r="B7" s="8" t="s">
        <v>30</v>
      </c>
      <c r="C7" s="8" t="s">
        <v>22</v>
      </c>
      <c r="D7" s="8" t="s">
        <v>15</v>
      </c>
      <c r="E7" s="9">
        <v>6</v>
      </c>
      <c r="F7" s="9" t="str" cm="1">
        <f t="array" ref="F7">_xlfn.IFS(Table1[[#This Row],[Experience_Years]]&gt;=6,"HIGHLY EXPIRINCED",Table1[[#This Row],[Experience_Years]]&gt;=3,"EXPERINCED",Table1[[#This Row],[Experience_Years]]&gt;=1,"BEGINNER")</f>
        <v>HIGHLY EXPIRINCED</v>
      </c>
      <c r="G7" s="9">
        <v>55000</v>
      </c>
      <c r="H7" s="10">
        <v>7500</v>
      </c>
      <c r="I7" s="9">
        <v>350000</v>
      </c>
      <c r="J7" s="9"/>
      <c r="K7" s="9">
        <v>390000</v>
      </c>
      <c r="L7" s="9" t="str" cm="1">
        <f t="array" ref="L7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7" s="9">
        <v>96</v>
      </c>
      <c r="N7" s="9" t="str" cm="1">
        <f t="array" ref="N7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7" s="9">
        <v>98</v>
      </c>
      <c r="P7" s="9" t="str" cm="1">
        <f t="array" ref="P7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7" s="9">
        <v>18</v>
      </c>
      <c r="R7" s="9">
        <f>SUM(Table1[[#This Row],[Bonus]],Table1[[#This Row],[Basic_Salary]])</f>
        <v>62500</v>
      </c>
      <c r="S7" s="9" t="str">
        <f>IF(Table1[[#This Row],[Sales_Achieved]]&gt;Table1[[#This Row],[Sales_Target]],"achived","not achived")</f>
        <v>achived</v>
      </c>
      <c r="T7" s="9" t="str">
        <f>IF(AND(Table1[[#This Row],[Performance_Score]]&gt;85,Table1[[#This Row],[Attendance_%]]&gt;90),"excellent","need improvement")</f>
        <v>excellent</v>
      </c>
      <c r="U7" s="9" t="str">
        <f>IF(OR(Table1[[#This Row],[Department]]="IT",Table1[[#This Row],[Department]]="Finance"),"elligible","not elligible")</f>
        <v>elligible</v>
      </c>
      <c r="V7" s="9" t="str" cm="1">
        <f t="array" ref="V7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outstandibg</v>
      </c>
    </row>
    <row r="8" spans="1:22" ht="43.5" x14ac:dyDescent="0.35">
      <c r="A8" s="8" t="s">
        <v>31</v>
      </c>
      <c r="B8" s="8" t="s">
        <v>32</v>
      </c>
      <c r="C8" s="8" t="s">
        <v>18</v>
      </c>
      <c r="D8" s="8" t="s">
        <v>26</v>
      </c>
      <c r="E8" s="9">
        <v>2</v>
      </c>
      <c r="F8" s="9" t="str" cm="1">
        <f t="array" ref="F8">_xlfn.IFS(Table1[[#This Row],[Experience_Years]]&gt;=6,"HIGHLY EXPIRINCED",Table1[[#This Row],[Experience_Years]]&gt;=3,"EXPERINCED",Table1[[#This Row],[Experience_Years]]&gt;=1,"BEGINNER")</f>
        <v>BEGINNER</v>
      </c>
      <c r="G8" s="9">
        <v>32000</v>
      </c>
      <c r="H8" s="10">
        <v>2500</v>
      </c>
      <c r="I8" s="9">
        <v>140000</v>
      </c>
      <c r="J8" s="9"/>
      <c r="K8" s="9">
        <v>155000</v>
      </c>
      <c r="L8" s="9" t="str" cm="1">
        <f t="array" ref="L8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8" s="9">
        <v>81</v>
      </c>
      <c r="N8" s="9" t="str" cm="1">
        <f t="array" ref="N8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8" s="9">
        <v>93</v>
      </c>
      <c r="P8" s="9" t="str" cm="1">
        <f t="array" ref="P8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8" s="9">
        <v>7</v>
      </c>
      <c r="R8" s="9">
        <f>SUM(Table1[[#This Row],[Bonus]],Table1[[#This Row],[Basic_Salary]])</f>
        <v>34500</v>
      </c>
      <c r="S8" s="9" t="str">
        <f>IF(Table1[[#This Row],[Sales_Achieved]]&gt;Table1[[#This Row],[Sales_Target]],"achived","not achived")</f>
        <v>achived</v>
      </c>
      <c r="T8" s="9" t="str">
        <f>IF(AND(Table1[[#This Row],[Performance_Score]]&gt;85,Table1[[#This Row],[Attendance_%]]&gt;90),"excellent","need improvement")</f>
        <v>need improvement</v>
      </c>
      <c r="U8" s="9" t="str">
        <f>IF(OR(Table1[[#This Row],[Department]]="IT",Table1[[#This Row],[Department]]="Finance"),"elligible","not elligible")</f>
        <v>not elligible</v>
      </c>
      <c r="V8" s="9" t="str" cm="1">
        <f t="array" ref="V8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9" spans="1:22" ht="29" x14ac:dyDescent="0.35">
      <c r="A9" s="8" t="s">
        <v>33</v>
      </c>
      <c r="B9" s="8" t="s">
        <v>34</v>
      </c>
      <c r="C9" s="8" t="s">
        <v>14</v>
      </c>
      <c r="D9" s="8" t="s">
        <v>15</v>
      </c>
      <c r="E9" s="9">
        <v>4</v>
      </c>
      <c r="F9" s="9" t="str" cm="1">
        <f t="array" ref="F9">_xlfn.IFS(Table1[[#This Row],[Experience_Years]]&gt;=6,"HIGHLY EXPIRINCED",Table1[[#This Row],[Experience_Years]]&gt;=3,"EXPERINCED",Table1[[#This Row],[Experience_Years]]&gt;=1,"BEGINNER")</f>
        <v>EXPERINCED</v>
      </c>
      <c r="G9" s="9">
        <v>39000</v>
      </c>
      <c r="H9" s="10">
        <v>5000</v>
      </c>
      <c r="I9" s="9">
        <v>320000</v>
      </c>
      <c r="J9" s="9"/>
      <c r="K9" s="9">
        <v>340000</v>
      </c>
      <c r="L9" s="9" t="str" cm="1">
        <f t="array" ref="L9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9" s="9">
        <v>89</v>
      </c>
      <c r="N9" s="9" t="str" cm="1">
        <f t="array" ref="N9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9" s="9">
        <v>96</v>
      </c>
      <c r="P9" s="9" t="str" cm="1">
        <f t="array" ref="P9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9" s="9">
        <v>14</v>
      </c>
      <c r="R9" s="9">
        <f>SUM(Table1[[#This Row],[Bonus]],Table1[[#This Row],[Basic_Salary]])</f>
        <v>44000</v>
      </c>
      <c r="S9" s="9" t="str">
        <f>IF(Table1[[#This Row],[Sales_Achieved]]&gt;Table1[[#This Row],[Sales_Target]],"achived","not achived")</f>
        <v>achived</v>
      </c>
      <c r="T9" s="9" t="str">
        <f>IF(AND(Table1[[#This Row],[Performance_Score]]&gt;85,Table1[[#This Row],[Attendance_%]]&gt;90),"excellent","need improvement")</f>
        <v>excellent</v>
      </c>
      <c r="U9" s="9" t="str">
        <f>IF(OR(Table1[[#This Row],[Department]]="IT",Table1[[#This Row],[Department]]="Finance"),"elligible","not elligible")</f>
        <v>not elligible</v>
      </c>
      <c r="V9" s="9" t="str" cm="1">
        <f t="array" ref="V9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10" spans="1:22" ht="43.5" x14ac:dyDescent="0.35">
      <c r="A10" s="8" t="s">
        <v>35</v>
      </c>
      <c r="B10" s="8" t="s">
        <v>36</v>
      </c>
      <c r="C10" s="8" t="s">
        <v>25</v>
      </c>
      <c r="D10" s="8" t="s">
        <v>19</v>
      </c>
      <c r="E10" s="9">
        <v>3</v>
      </c>
      <c r="F10" s="9" t="str" cm="1">
        <f t="array" ref="F10">_xlfn.IFS(Table1[[#This Row],[Experience_Years]]&gt;=6,"HIGHLY EXPIRINCED",Table1[[#This Row],[Experience_Years]]&gt;=3,"EXPERINCED",Table1[[#This Row],[Experience_Years]]&gt;=1,"BEGINNER")</f>
        <v>EXPERINCED</v>
      </c>
      <c r="G10" s="9">
        <v>41000</v>
      </c>
      <c r="H10" s="10">
        <v>4500</v>
      </c>
      <c r="I10" s="9">
        <v>180000</v>
      </c>
      <c r="J10" s="9"/>
      <c r="K10" s="9">
        <v>165000</v>
      </c>
      <c r="L10" s="9" t="str" cm="1">
        <f t="array" ref="L10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M10" s="9">
        <v>74</v>
      </c>
      <c r="N10" s="9" t="str" cm="1">
        <f t="array" ref="N10">_xlfn.IFS(Table1[[#This Row],[Performance_Score]]&gt;=90,"excllent",Table1[[#This Row],[Performance_Score]]&gt;=80,"GOOD",Table1[[#This Row],[Performance_Score]]&gt;=70,"AVERAGE",Table1[[#This Row],[Performance_Score]]&lt;70,"NEEDS IMPROVEMENT")</f>
        <v>AVERAGE</v>
      </c>
      <c r="O10" s="9">
        <v>89</v>
      </c>
      <c r="P10" s="9" t="str" cm="1">
        <f t="array" ref="P10">_xlfn.IFS(Table1[[#This Row],[Attendance_%]]&gt;=95,"exclent attaendance",Table1[[#This Row],[Attendance_%]]&gt;=90,"good attandance",Table1[[#This Row],[Attendance_%]]&gt;=85,"avg attandance",Table1[[#This Row],[Attendance_%]]&lt;85,"poor attandance")</f>
        <v>avg attandance</v>
      </c>
      <c r="Q10" s="9">
        <v>9</v>
      </c>
      <c r="R10" s="9">
        <f>SUM(Table1[[#This Row],[Bonus]],Table1[[#This Row],[Basic_Salary]])</f>
        <v>45500</v>
      </c>
      <c r="S10" s="9" t="str">
        <f>IF(Table1[[#This Row],[Sales_Achieved]]&gt;Table1[[#This Row],[Sales_Target]],"achived","not achived")</f>
        <v>not achived</v>
      </c>
      <c r="T10" s="9" t="str">
        <f>IF(AND(Table1[[#This Row],[Performance_Score]]&gt;85,Table1[[#This Row],[Attendance_%]]&gt;90),"excellent","need improvement")</f>
        <v>need improvement</v>
      </c>
      <c r="U10" s="9" t="str">
        <f>IF(OR(Table1[[#This Row],[Department]]="IT",Table1[[#This Row],[Department]]="Finance"),"elligible","not elligible")</f>
        <v>elligible</v>
      </c>
      <c r="V10" s="9" t="str" cm="1">
        <f t="array" ref="V10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satisfactory</v>
      </c>
    </row>
    <row r="11" spans="1:22" x14ac:dyDescent="0.35">
      <c r="A11" s="8" t="s">
        <v>37</v>
      </c>
      <c r="B11" s="8" t="s">
        <v>38</v>
      </c>
      <c r="C11" s="8" t="s">
        <v>22</v>
      </c>
      <c r="D11" s="8" t="s">
        <v>26</v>
      </c>
      <c r="E11" s="9">
        <v>7</v>
      </c>
      <c r="F11" s="9" t="str" cm="1">
        <f t="array" ref="F11">_xlfn.IFS(Table1[[#This Row],[Experience_Years]]&gt;=6,"HIGHLY EXPIRINCED",Table1[[#This Row],[Experience_Years]]&gt;=3,"EXPERINCED",Table1[[#This Row],[Experience_Years]]&gt;=1,"BEGINNER")</f>
        <v>HIGHLY EXPIRINCED</v>
      </c>
      <c r="G11" s="9">
        <v>62000</v>
      </c>
      <c r="H11" s="10">
        <v>8500</v>
      </c>
      <c r="I11" s="9">
        <v>400000</v>
      </c>
      <c r="J11" s="9"/>
      <c r="K11" s="9">
        <v>425000</v>
      </c>
      <c r="L11" s="9" t="str" cm="1">
        <f t="array" ref="L11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1" s="9">
        <v>97</v>
      </c>
      <c r="N11" s="9" t="str" cm="1">
        <f t="array" ref="N11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11" s="9">
        <v>99</v>
      </c>
      <c r="P11" s="9" t="str" cm="1">
        <f t="array" ref="P11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11" s="9">
        <v>20</v>
      </c>
      <c r="R11" s="9">
        <f>SUM(Table1[[#This Row],[Bonus]],Table1[[#This Row],[Basic_Salary]])</f>
        <v>70500</v>
      </c>
      <c r="S11" s="9" t="str">
        <f>IF(Table1[[#This Row],[Sales_Achieved]]&gt;Table1[[#This Row],[Sales_Target]],"achived","not achived")</f>
        <v>achived</v>
      </c>
      <c r="T11" s="9" t="str">
        <f>IF(AND(Table1[[#This Row],[Performance_Score]]&gt;85,Table1[[#This Row],[Attendance_%]]&gt;90),"excellent","need improvement")</f>
        <v>excellent</v>
      </c>
      <c r="U11" s="9" t="str">
        <f>IF(OR(Table1[[#This Row],[Department]]="IT",Table1[[#This Row],[Department]]="Finance"),"elligible","not elligible")</f>
        <v>elligible</v>
      </c>
      <c r="V11" s="9" t="str" cm="1">
        <f t="array" ref="V11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outstandibg</v>
      </c>
    </row>
    <row r="12" spans="1:22" ht="29" x14ac:dyDescent="0.35">
      <c r="A12" s="8" t="s">
        <v>39</v>
      </c>
      <c r="B12" s="8" t="s">
        <v>40</v>
      </c>
      <c r="C12" s="8" t="s">
        <v>14</v>
      </c>
      <c r="D12" s="8" t="s">
        <v>19</v>
      </c>
      <c r="E12" s="9">
        <v>5</v>
      </c>
      <c r="F12" s="9" t="str" cm="1">
        <f t="array" ref="F12">_xlfn.IFS(Table1[[#This Row],[Experience_Years]]&gt;=6,"HIGHLY EXPIRINCED",Table1[[#This Row],[Experience_Years]]&gt;=3,"EXPERINCED",Table1[[#This Row],[Experience_Years]]&gt;=1,"BEGINNER")</f>
        <v>EXPERINCED</v>
      </c>
      <c r="G12" s="9">
        <v>45000</v>
      </c>
      <c r="H12" s="10">
        <v>6500</v>
      </c>
      <c r="I12" s="9">
        <v>350000</v>
      </c>
      <c r="J12" s="9"/>
      <c r="K12" s="9">
        <v>370000</v>
      </c>
      <c r="L12" s="9" t="str" cm="1">
        <f t="array" ref="L12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2" s="9">
        <v>91</v>
      </c>
      <c r="N12" s="9" t="str" cm="1">
        <f t="array" ref="N12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12" s="9">
        <v>94</v>
      </c>
      <c r="P12" s="9" t="str" cm="1">
        <f t="array" ref="P12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12" s="9">
        <v>16</v>
      </c>
      <c r="R12" s="9">
        <f>SUM(Table1[[#This Row],[Bonus]],Table1[[#This Row],[Basic_Salary]])</f>
        <v>51500</v>
      </c>
      <c r="S12" s="9" t="str">
        <f>IF(Table1[[#This Row],[Sales_Achieved]]&gt;Table1[[#This Row],[Sales_Target]],"achived","not achived")</f>
        <v>achived</v>
      </c>
      <c r="T12" s="9" t="str">
        <f>IF(AND(Table1[[#This Row],[Performance_Score]]&gt;85,Table1[[#This Row],[Attendance_%]]&gt;90),"excellent","need improvement")</f>
        <v>excellent</v>
      </c>
      <c r="U12" s="9" t="str">
        <f>IF(OR(Table1[[#This Row],[Department]]="IT",Table1[[#This Row],[Department]]="Finance"),"elligible","not elligible")</f>
        <v>not elligible</v>
      </c>
      <c r="V12" s="9" t="str" cm="1">
        <f t="array" ref="V12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excllent</v>
      </c>
    </row>
    <row r="13" spans="1:22" ht="43.5" x14ac:dyDescent="0.35">
      <c r="A13" s="8" t="s">
        <v>41</v>
      </c>
      <c r="B13" s="8" t="s">
        <v>42</v>
      </c>
      <c r="C13" s="8" t="s">
        <v>18</v>
      </c>
      <c r="D13" s="8" t="s">
        <v>15</v>
      </c>
      <c r="E13" s="9">
        <v>3</v>
      </c>
      <c r="F13" s="9" t="str" cm="1">
        <f t="array" ref="F13">_xlfn.IFS(Table1[[#This Row],[Experience_Years]]&gt;=6,"HIGHLY EXPIRINCED",Table1[[#This Row],[Experience_Years]]&gt;=3,"EXPERINCED",Table1[[#This Row],[Experience_Years]]&gt;=1,"BEGINNER")</f>
        <v>EXPERINCED</v>
      </c>
      <c r="G13" s="9">
        <v>36000</v>
      </c>
      <c r="H13" s="10">
        <v>3200</v>
      </c>
      <c r="I13" s="9">
        <v>160000</v>
      </c>
      <c r="J13" s="9"/>
      <c r="K13" s="9">
        <v>172000</v>
      </c>
      <c r="L13" s="9" t="str" cm="1">
        <f t="array" ref="L13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3" s="9">
        <v>84</v>
      </c>
      <c r="N13" s="9" t="str" cm="1">
        <f t="array" ref="N13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13" s="9">
        <v>92</v>
      </c>
      <c r="P13" s="9" t="str" cm="1">
        <f t="array" ref="P13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13" s="9">
        <v>5</v>
      </c>
      <c r="R13" s="9">
        <f>SUM(Table1[[#This Row],[Bonus]],Table1[[#This Row],[Basic_Salary]])</f>
        <v>39200</v>
      </c>
      <c r="S13" s="9" t="str">
        <f>IF(Table1[[#This Row],[Sales_Achieved]]&gt;Table1[[#This Row],[Sales_Target]],"achived","not achived")</f>
        <v>achived</v>
      </c>
      <c r="T13" s="9" t="str">
        <f>IF(AND(Table1[[#This Row],[Performance_Score]]&gt;85,Table1[[#This Row],[Attendance_%]]&gt;90),"excellent","need improvement")</f>
        <v>need improvement</v>
      </c>
      <c r="U13" s="9" t="str">
        <f>IF(OR(Table1[[#This Row],[Department]]="IT",Table1[[#This Row],[Department]]="Finance"),"elligible","not elligible")</f>
        <v>not elligible</v>
      </c>
      <c r="V13" s="9" t="str" cm="1">
        <f t="array" ref="V13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14" spans="1:22" x14ac:dyDescent="0.35">
      <c r="A14" s="8" t="s">
        <v>43</v>
      </c>
      <c r="B14" s="8" t="s">
        <v>44</v>
      </c>
      <c r="C14" s="8" t="s">
        <v>25</v>
      </c>
      <c r="D14" s="8" t="s">
        <v>26</v>
      </c>
      <c r="E14" s="9">
        <v>8</v>
      </c>
      <c r="F14" s="9" t="str" cm="1">
        <f t="array" ref="F14">_xlfn.IFS(Table1[[#This Row],[Experience_Years]]&gt;=6,"HIGHLY EXPIRINCED",Table1[[#This Row],[Experience_Years]]&gt;=3,"EXPERINCED",Table1[[#This Row],[Experience_Years]]&gt;=1,"BEGINNER")</f>
        <v>HIGHLY EXPIRINCED</v>
      </c>
      <c r="G14" s="9">
        <v>68000</v>
      </c>
      <c r="H14" s="10">
        <v>9000</v>
      </c>
      <c r="I14" s="9">
        <v>300000</v>
      </c>
      <c r="J14" s="9"/>
      <c r="K14" s="9">
        <v>315000</v>
      </c>
      <c r="L14" s="9" t="str" cm="1">
        <f t="array" ref="L14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4" s="9">
        <v>95</v>
      </c>
      <c r="N14" s="9" t="str" cm="1">
        <f t="array" ref="N14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14" s="9">
        <v>97</v>
      </c>
      <c r="P14" s="9" t="str" cm="1">
        <f t="array" ref="P14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14" s="9">
        <v>22</v>
      </c>
      <c r="R14" s="9">
        <f>SUM(Table1[[#This Row],[Bonus]],Table1[[#This Row],[Basic_Salary]])</f>
        <v>77000</v>
      </c>
      <c r="S14" s="9" t="str">
        <f>IF(Table1[[#This Row],[Sales_Achieved]]&gt;Table1[[#This Row],[Sales_Target]],"achived","not achived")</f>
        <v>achived</v>
      </c>
      <c r="T14" s="9" t="str">
        <f>IF(AND(Table1[[#This Row],[Performance_Score]]&gt;85,Table1[[#This Row],[Attendance_%]]&gt;90),"excellent","need improvement")</f>
        <v>excellent</v>
      </c>
      <c r="U14" s="9" t="str">
        <f>IF(OR(Table1[[#This Row],[Department]]="IT",Table1[[#This Row],[Department]]="Finance"),"elligible","not elligible")</f>
        <v>elligible</v>
      </c>
      <c r="V14" s="9" t="str" cm="1">
        <f t="array" ref="V14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outstandibg</v>
      </c>
    </row>
    <row r="15" spans="1:22" ht="43.5" x14ac:dyDescent="0.35">
      <c r="A15" s="8" t="s">
        <v>45</v>
      </c>
      <c r="B15" s="8" t="s">
        <v>46</v>
      </c>
      <c r="C15" s="8" t="s">
        <v>22</v>
      </c>
      <c r="D15" s="8" t="s">
        <v>19</v>
      </c>
      <c r="E15" s="9">
        <v>2</v>
      </c>
      <c r="F15" s="9" t="str" cm="1">
        <f t="array" ref="F15">_xlfn.IFS(Table1[[#This Row],[Experience_Years]]&gt;=6,"HIGHLY EXPIRINCED",Table1[[#This Row],[Experience_Years]]&gt;=3,"EXPERINCED",Table1[[#This Row],[Experience_Years]]&gt;=1,"BEGINNER")</f>
        <v>BEGINNER</v>
      </c>
      <c r="G15" s="9">
        <v>38000</v>
      </c>
      <c r="H15" s="10">
        <v>4000</v>
      </c>
      <c r="I15" s="9">
        <v>220000</v>
      </c>
      <c r="J15" s="9"/>
      <c r="K15" s="9">
        <v>205000</v>
      </c>
      <c r="L15" s="9" t="str" cm="1">
        <f t="array" ref="L15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M15" s="9">
        <v>76</v>
      </c>
      <c r="N15" s="9" t="str" cm="1">
        <f t="array" ref="N15">_xlfn.IFS(Table1[[#This Row],[Performance_Score]]&gt;=90,"excllent",Table1[[#This Row],[Performance_Score]]&gt;=80,"GOOD",Table1[[#This Row],[Performance_Score]]&gt;=70,"AVERAGE",Table1[[#This Row],[Performance_Score]]&lt;70,"NEEDS IMPROVEMENT")</f>
        <v>AVERAGE</v>
      </c>
      <c r="O15" s="9">
        <v>90</v>
      </c>
      <c r="P15" s="9" t="str" cm="1">
        <f t="array" ref="P15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15" s="9">
        <v>11</v>
      </c>
      <c r="R15" s="9">
        <f>SUM(Table1[[#This Row],[Bonus]],Table1[[#This Row],[Basic_Salary]])</f>
        <v>42000</v>
      </c>
      <c r="S15" s="9" t="str">
        <f>IF(Table1[[#This Row],[Sales_Achieved]]&gt;Table1[[#This Row],[Sales_Target]],"achived","not achived")</f>
        <v>not achived</v>
      </c>
      <c r="T15" s="9" t="str">
        <f>IF(AND(Table1[[#This Row],[Performance_Score]]&gt;85,Table1[[#This Row],[Attendance_%]]&gt;90),"excellent","need improvement")</f>
        <v>need improvement</v>
      </c>
      <c r="U15" s="9" t="str">
        <f>IF(OR(Table1[[#This Row],[Department]]="IT",Table1[[#This Row],[Department]]="Finance"),"elligible","not elligible")</f>
        <v>elligible</v>
      </c>
      <c r="V15" s="9" t="str" cm="1">
        <f t="array" ref="V15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satisfactory</v>
      </c>
    </row>
    <row r="16" spans="1:22" ht="29" x14ac:dyDescent="0.35">
      <c r="A16" s="8" t="s">
        <v>47</v>
      </c>
      <c r="B16" s="8" t="s">
        <v>48</v>
      </c>
      <c r="C16" s="8" t="s">
        <v>14</v>
      </c>
      <c r="D16" s="8" t="s">
        <v>26</v>
      </c>
      <c r="E16" s="9">
        <v>6</v>
      </c>
      <c r="F16" s="9" t="str" cm="1">
        <f t="array" ref="F16">_xlfn.IFS(Table1[[#This Row],[Experience_Years]]&gt;=6,"HIGHLY EXPIRINCED",Table1[[#This Row],[Experience_Years]]&gt;=3,"EXPERINCED",Table1[[#This Row],[Experience_Years]]&gt;=1,"BEGINNER")</f>
        <v>HIGHLY EXPIRINCED</v>
      </c>
      <c r="G16" s="9">
        <v>52000</v>
      </c>
      <c r="H16" s="10">
        <v>7000</v>
      </c>
      <c r="I16" s="9">
        <v>400000</v>
      </c>
      <c r="J16" s="9"/>
      <c r="K16" s="9">
        <v>440000</v>
      </c>
      <c r="L16" s="9" t="str" cm="1">
        <f t="array" ref="L16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6" s="9">
        <v>94</v>
      </c>
      <c r="N16" s="9" t="str" cm="1">
        <f t="array" ref="N16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16" s="9">
        <v>98</v>
      </c>
      <c r="P16" s="9" t="str" cm="1">
        <f t="array" ref="P16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16" s="9">
        <v>19</v>
      </c>
      <c r="R16" s="9">
        <f>SUM(Table1[[#This Row],[Bonus]],Table1[[#This Row],[Basic_Salary]])</f>
        <v>59000</v>
      </c>
      <c r="S16" s="9" t="str">
        <f>IF(Table1[[#This Row],[Sales_Achieved]]&gt;Table1[[#This Row],[Sales_Target]],"achived","not achived")</f>
        <v>achived</v>
      </c>
      <c r="T16" s="9" t="str">
        <f>IF(AND(Table1[[#This Row],[Performance_Score]]&gt;85,Table1[[#This Row],[Attendance_%]]&gt;90),"excellent","need improvement")</f>
        <v>excellent</v>
      </c>
      <c r="U16" s="9" t="str">
        <f>IF(OR(Table1[[#This Row],[Department]]="IT",Table1[[#This Row],[Department]]="Finance"),"elligible","not elligible")</f>
        <v>not elligible</v>
      </c>
      <c r="V16" s="9" t="str" cm="1">
        <f t="array" ref="V16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excllent</v>
      </c>
    </row>
    <row r="17" spans="1:22" ht="43.5" x14ac:dyDescent="0.35">
      <c r="A17" s="8" t="s">
        <v>49</v>
      </c>
      <c r="B17" s="8" t="s">
        <v>50</v>
      </c>
      <c r="C17" s="8" t="s">
        <v>18</v>
      </c>
      <c r="D17" s="8" t="s">
        <v>19</v>
      </c>
      <c r="E17" s="9">
        <v>5</v>
      </c>
      <c r="F17" s="9" t="str" cm="1">
        <f t="array" ref="F17">_xlfn.IFS(Table1[[#This Row],[Experience_Years]]&gt;=6,"HIGHLY EXPIRINCED",Table1[[#This Row],[Experience_Years]]&gt;=3,"EXPERINCED",Table1[[#This Row],[Experience_Years]]&gt;=1,"BEGINNER")</f>
        <v>EXPERINCED</v>
      </c>
      <c r="G17" s="9">
        <v>44000</v>
      </c>
      <c r="H17" s="10">
        <v>4800</v>
      </c>
      <c r="I17" s="9">
        <v>190000</v>
      </c>
      <c r="J17" s="9"/>
      <c r="K17" s="9">
        <v>185000</v>
      </c>
      <c r="L17" s="9" t="str" cm="1">
        <f t="array" ref="L17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NEAR TARGET</v>
      </c>
      <c r="M17" s="9">
        <v>79</v>
      </c>
      <c r="N17" s="9" t="str" cm="1">
        <f t="array" ref="N17">_xlfn.IFS(Table1[[#This Row],[Performance_Score]]&gt;=90,"excllent",Table1[[#This Row],[Performance_Score]]&gt;=80,"GOOD",Table1[[#This Row],[Performance_Score]]&gt;=70,"AVERAGE",Table1[[#This Row],[Performance_Score]]&lt;70,"NEEDS IMPROVEMENT")</f>
        <v>AVERAGE</v>
      </c>
      <c r="O17" s="9">
        <v>88</v>
      </c>
      <c r="P17" s="9" t="str" cm="1">
        <f t="array" ref="P17">_xlfn.IFS(Table1[[#This Row],[Attendance_%]]&gt;=95,"exclent attaendance",Table1[[#This Row],[Attendance_%]]&gt;=90,"good attandance",Table1[[#This Row],[Attendance_%]]&gt;=85,"avg attandance",Table1[[#This Row],[Attendance_%]]&lt;85,"poor attandance")</f>
        <v>avg attandance</v>
      </c>
      <c r="Q17" s="9">
        <v>8</v>
      </c>
      <c r="R17" s="9">
        <f>SUM(Table1[[#This Row],[Bonus]],Table1[[#This Row],[Basic_Salary]])</f>
        <v>48800</v>
      </c>
      <c r="S17" s="9" t="str">
        <f>IF(Table1[[#This Row],[Sales_Achieved]]&gt;Table1[[#This Row],[Sales_Target]],"achived","not achived")</f>
        <v>not achived</v>
      </c>
      <c r="T17" s="9" t="str">
        <f>IF(AND(Table1[[#This Row],[Performance_Score]]&gt;85,Table1[[#This Row],[Attendance_%]]&gt;90),"excellent","need improvement")</f>
        <v>need improvement</v>
      </c>
      <c r="U17" s="9" t="str">
        <f>IF(OR(Table1[[#This Row],[Department]]="IT",Table1[[#This Row],[Department]]="Finance"),"elligible","not elligible")</f>
        <v>not elligible</v>
      </c>
      <c r="V17" s="9" t="str" cm="1">
        <f t="array" ref="V17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satisfactory</v>
      </c>
    </row>
    <row r="18" spans="1:22" x14ac:dyDescent="0.35">
      <c r="A18" s="8" t="s">
        <v>51</v>
      </c>
      <c r="B18" s="8" t="s">
        <v>52</v>
      </c>
      <c r="C18" s="8" t="s">
        <v>22</v>
      </c>
      <c r="D18" s="8" t="s">
        <v>15</v>
      </c>
      <c r="E18" s="9">
        <v>4</v>
      </c>
      <c r="F18" s="9" t="str" cm="1">
        <f t="array" ref="F18">_xlfn.IFS(Table1[[#This Row],[Experience_Years]]&gt;=6,"HIGHLY EXPIRINCED",Table1[[#This Row],[Experience_Years]]&gt;=3,"EXPERINCED",Table1[[#This Row],[Experience_Years]]&gt;=1,"BEGINNER")</f>
        <v>EXPERINCED</v>
      </c>
      <c r="G18" s="9">
        <v>47000</v>
      </c>
      <c r="H18" s="10">
        <v>5800</v>
      </c>
      <c r="I18" s="9">
        <v>280000</v>
      </c>
      <c r="J18" s="9"/>
      <c r="K18" s="9">
        <v>300000</v>
      </c>
      <c r="L18" s="9" t="str" cm="1">
        <f t="array" ref="L18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8" s="9">
        <v>87</v>
      </c>
      <c r="N18" s="9" t="str" cm="1">
        <f t="array" ref="N18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18" s="9">
        <v>95</v>
      </c>
      <c r="P18" s="9" t="str" cm="1">
        <f t="array" ref="P18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18" s="9">
        <v>13</v>
      </c>
      <c r="R18" s="9">
        <f>SUM(Table1[[#This Row],[Bonus]],Table1[[#This Row],[Basic_Salary]])</f>
        <v>52800</v>
      </c>
      <c r="S18" s="9" t="str">
        <f>IF(Table1[[#This Row],[Sales_Achieved]]&gt;Table1[[#This Row],[Sales_Target]],"achived","not achived")</f>
        <v>achived</v>
      </c>
      <c r="T18" s="9" t="str">
        <f>IF(AND(Table1[[#This Row],[Performance_Score]]&gt;85,Table1[[#This Row],[Attendance_%]]&gt;90),"excellent","need improvement")</f>
        <v>excellent</v>
      </c>
      <c r="U18" s="9" t="str">
        <f>IF(OR(Table1[[#This Row],[Department]]="IT",Table1[[#This Row],[Department]]="Finance"),"elligible","not elligible")</f>
        <v>elligible</v>
      </c>
      <c r="V18" s="9" t="str" cm="1">
        <f t="array" ref="V18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19" spans="1:22" ht="43.5" x14ac:dyDescent="0.35">
      <c r="A19" s="8" t="s">
        <v>53</v>
      </c>
      <c r="B19" s="8" t="s">
        <v>54</v>
      </c>
      <c r="C19" s="8" t="s">
        <v>25</v>
      </c>
      <c r="D19" s="8" t="s">
        <v>15</v>
      </c>
      <c r="E19" s="9">
        <v>2</v>
      </c>
      <c r="F19" s="9" t="str" cm="1">
        <f t="array" ref="F19">_xlfn.IFS(Table1[[#This Row],[Experience_Years]]&gt;=6,"HIGHLY EXPIRINCED",Table1[[#This Row],[Experience_Years]]&gt;=3,"EXPERINCED",Table1[[#This Row],[Experience_Years]]&gt;=1,"BEGINNER")</f>
        <v>BEGINNER</v>
      </c>
      <c r="G19" s="9">
        <v>37000</v>
      </c>
      <c r="H19" s="10">
        <v>3500</v>
      </c>
      <c r="I19" s="9">
        <v>170000</v>
      </c>
      <c r="J19" s="9"/>
      <c r="K19" s="9">
        <v>180000</v>
      </c>
      <c r="L19" s="9" t="str" cm="1">
        <f t="array" ref="L19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19" s="9">
        <v>83</v>
      </c>
      <c r="N19" s="9" t="str" cm="1">
        <f t="array" ref="N19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19" s="9">
        <v>93</v>
      </c>
      <c r="P19" s="9" t="str" cm="1">
        <f t="array" ref="P19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19" s="9">
        <v>7</v>
      </c>
      <c r="R19" s="9">
        <f>SUM(Table1[[#This Row],[Bonus]],Table1[[#This Row],[Basic_Salary]])</f>
        <v>40500</v>
      </c>
      <c r="S19" s="9" t="str">
        <f>IF(Table1[[#This Row],[Sales_Achieved]]&gt;Table1[[#This Row],[Sales_Target]],"achived","not achived")</f>
        <v>achived</v>
      </c>
      <c r="T19" s="9" t="str">
        <f>IF(AND(Table1[[#This Row],[Performance_Score]]&gt;85,Table1[[#This Row],[Attendance_%]]&gt;90),"excellent","need improvement")</f>
        <v>need improvement</v>
      </c>
      <c r="U19" s="9" t="str">
        <f>IF(OR(Table1[[#This Row],[Department]]="IT",Table1[[#This Row],[Department]]="Finance"),"elligible","not elligible")</f>
        <v>elligible</v>
      </c>
      <c r="V19" s="9" t="str" cm="1">
        <f t="array" ref="V19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20" spans="1:22" ht="29" x14ac:dyDescent="0.35">
      <c r="A20" s="8" t="s">
        <v>55</v>
      </c>
      <c r="B20" s="8" t="s">
        <v>56</v>
      </c>
      <c r="C20" s="8" t="s">
        <v>14</v>
      </c>
      <c r="D20" s="8" t="s">
        <v>19</v>
      </c>
      <c r="E20" s="9">
        <v>3</v>
      </c>
      <c r="F20" s="9" t="str" cm="1">
        <f t="array" ref="F20">_xlfn.IFS(Table1[[#This Row],[Experience_Years]]&gt;=6,"HIGHLY EXPIRINCED",Table1[[#This Row],[Experience_Years]]&gt;=3,"EXPERINCED",Table1[[#This Row],[Experience_Years]]&gt;=1,"BEGINNER")</f>
        <v>EXPERINCED</v>
      </c>
      <c r="G20" s="9">
        <v>34000</v>
      </c>
      <c r="H20" s="10">
        <v>4500</v>
      </c>
      <c r="I20" s="9">
        <v>300000</v>
      </c>
      <c r="J20" s="9"/>
      <c r="K20" s="9">
        <v>310000</v>
      </c>
      <c r="L20" s="9" t="str" cm="1">
        <f t="array" ref="L20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20" s="9">
        <v>86</v>
      </c>
      <c r="N20" s="9" t="str" cm="1">
        <f t="array" ref="N20">_xlfn.IFS(Table1[[#This Row],[Performance_Score]]&gt;=90,"excllent",Table1[[#This Row],[Performance_Score]]&gt;=80,"GOOD",Table1[[#This Row],[Performance_Score]]&gt;=70,"AVERAGE",Table1[[#This Row],[Performance_Score]]&lt;70,"NEEDS IMPROVEMENT")</f>
        <v>GOOD</v>
      </c>
      <c r="O20" s="9">
        <v>91</v>
      </c>
      <c r="P20" s="9" t="str" cm="1">
        <f t="array" ref="P20">_xlfn.IFS(Table1[[#This Row],[Attendance_%]]&gt;=95,"exclent attaendance",Table1[[#This Row],[Attendance_%]]&gt;=90,"good attandance",Table1[[#This Row],[Attendance_%]]&gt;=85,"avg attandance",Table1[[#This Row],[Attendance_%]]&lt;85,"poor attandance")</f>
        <v>good attandance</v>
      </c>
      <c r="Q20" s="9">
        <v>10</v>
      </c>
      <c r="R20" s="9">
        <f>SUM(Table1[[#This Row],[Bonus]],Table1[[#This Row],[Basic_Salary]])</f>
        <v>38500</v>
      </c>
      <c r="S20" s="9" t="str">
        <f>IF(Table1[[#This Row],[Sales_Achieved]]&gt;Table1[[#This Row],[Sales_Target]],"achived","not achived")</f>
        <v>achived</v>
      </c>
      <c r="T20" s="9" t="str">
        <f>IF(AND(Table1[[#This Row],[Performance_Score]]&gt;85,Table1[[#This Row],[Attendance_%]]&gt;90),"excellent","need improvement")</f>
        <v>excellent</v>
      </c>
      <c r="U20" s="9" t="str">
        <f>IF(OR(Table1[[#This Row],[Department]]="IT",Table1[[#This Row],[Department]]="Finance"),"elligible","not elligible")</f>
        <v>not elligible</v>
      </c>
      <c r="V20" s="9" t="str" cm="1">
        <f t="array" ref="V20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good</v>
      </c>
    </row>
    <row r="21" spans="1:22" x14ac:dyDescent="0.35">
      <c r="A21" s="8" t="s">
        <v>57</v>
      </c>
      <c r="B21" s="8" t="s">
        <v>58</v>
      </c>
      <c r="C21" s="8" t="s">
        <v>22</v>
      </c>
      <c r="D21" s="8" t="s">
        <v>26</v>
      </c>
      <c r="E21" s="9">
        <v>5</v>
      </c>
      <c r="F21" s="9" t="str" cm="1">
        <f t="array" ref="F21">_xlfn.IFS(Table1[[#This Row],[Experience_Years]]&gt;=6,"HIGHLY EXPIRINCED",Table1[[#This Row],[Experience_Years]]&gt;=3,"EXPERINCED",Table1[[#This Row],[Experience_Years]]&gt;=1,"BEGINNER")</f>
        <v>EXPERINCED</v>
      </c>
      <c r="G21" s="9">
        <v>58000</v>
      </c>
      <c r="H21" s="10">
        <v>8000</v>
      </c>
      <c r="I21" s="9">
        <v>330000</v>
      </c>
      <c r="J21" s="9"/>
      <c r="K21" s="9">
        <v>350000</v>
      </c>
      <c r="L21" s="9" t="str" cm="1">
        <f t="array" ref="L21">_xlfn.IFS(Table1[[#This Row],[Sales_Achieved]]&gt;=Table1[[#This Row],[Sales_Target]],"ACHIVED",Table1[[#This Row],[Sales_Achieved]]&gt;=Table1[[#This Row],[Sales_Target]]*90%,"NEAR TARGET",Table1[[#This Row],[Sales_Achieved]]&lt;Table1[[#This Row],[Sales_Target]]*90%,"BELOW TARGET")</f>
        <v>ACHIVED</v>
      </c>
      <c r="M21" s="9">
        <v>90</v>
      </c>
      <c r="N21" s="9" t="str" cm="1">
        <f t="array" ref="N21">_xlfn.IFS(Table1[[#This Row],[Performance_Score]]&gt;=90,"excllent",Table1[[#This Row],[Performance_Score]]&gt;=80,"GOOD",Table1[[#This Row],[Performance_Score]]&gt;=70,"AVERAGE",Table1[[#This Row],[Performance_Score]]&lt;70,"NEEDS IMPROVEMENT")</f>
        <v>excllent</v>
      </c>
      <c r="O21" s="9">
        <v>96</v>
      </c>
      <c r="P21" s="9" t="str" cm="1">
        <f t="array" ref="P21">_xlfn.IFS(Table1[[#This Row],[Attendance_%]]&gt;=95,"exclent attaendance",Table1[[#This Row],[Attendance_%]]&gt;=90,"good attandance",Table1[[#This Row],[Attendance_%]]&gt;=85,"avg attandance",Table1[[#This Row],[Attendance_%]]&lt;85,"poor attandance")</f>
        <v>exclent attaendance</v>
      </c>
      <c r="Q21" s="9">
        <v>17</v>
      </c>
      <c r="R21" s="9">
        <f>SUM(Table1[[#This Row],[Bonus]],Table1[[#This Row],[Basic_Salary]])</f>
        <v>66000</v>
      </c>
      <c r="S21" s="9" t="str">
        <f>IF(Table1[[#This Row],[Sales_Achieved]]&gt;Table1[[#This Row],[Sales_Target]],"achived","not achived")</f>
        <v>achived</v>
      </c>
      <c r="T21" s="9" t="str">
        <f>IF(AND(Table1[[#This Row],[Performance_Score]]&gt;85,Table1[[#This Row],[Attendance_%]]&gt;90),"excellent","need improvement")</f>
        <v>excellent</v>
      </c>
      <c r="U21" s="9" t="str">
        <f>IF(OR(Table1[[#This Row],[Department]]="IT",Table1[[#This Row],[Department]]="Finance"),"elligible","not elligible")</f>
        <v>elligible</v>
      </c>
      <c r="V21" s="9" t="str" cm="1">
        <f t="array" ref="V21">_xlfn.IFS(Table1[[#This Row],[Performance_Score]]&gt;=95,"outstandibg",Table1[[#This Row],[Performance_Score]]&gt;=90,"excllent",Table1[[#This Row],[Performance_Score]]&gt;=80,"good",Table1[[#This Row],[Performance_Score]]&gt;=70,"satisfactory",Table1[[#This Row],[Performance_Score]]&lt;70,"needs improvement")</f>
        <v>excllent</v>
      </c>
    </row>
    <row r="22" spans="1:22" x14ac:dyDescent="0.35">
      <c r="A22" s="8"/>
      <c r="B22" s="8"/>
      <c r="C22" s="8"/>
      <c r="D22" s="8"/>
      <c r="E22" s="9"/>
      <c r="F22" s="9"/>
      <c r="G22" s="9"/>
      <c r="H22" s="10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 x14ac:dyDescent="0.35">
      <c r="A23" s="8"/>
      <c r="B23" s="8"/>
      <c r="C23" s="8"/>
      <c r="D23" s="8"/>
      <c r="E23" s="9"/>
      <c r="F23" s="9"/>
      <c r="G23" s="9"/>
      <c r="H23" s="10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 x14ac:dyDescent="0.35">
      <c r="A24" t="s">
        <v>86</v>
      </c>
      <c r="B24" t="s">
        <v>87</v>
      </c>
    </row>
    <row r="25" spans="1:22" x14ac:dyDescent="0.35">
      <c r="A25">
        <v>1</v>
      </c>
      <c r="B25">
        <f>SUM(Table1[Basic_Salary])</f>
        <v>867000</v>
      </c>
    </row>
    <row r="26" spans="1:22" x14ac:dyDescent="0.35">
      <c r="A26">
        <v>2</v>
      </c>
      <c r="B26">
        <f>MIN(Table1[Basic_Salary])</f>
        <v>26000</v>
      </c>
    </row>
    <row r="27" spans="1:22" x14ac:dyDescent="0.35">
      <c r="A27">
        <v>3</v>
      </c>
      <c r="B27">
        <f>MAX(Table1[Basic_Salary])</f>
        <v>68000</v>
      </c>
    </row>
    <row r="28" spans="1:22" x14ac:dyDescent="0.35">
      <c r="A28">
        <v>4</v>
      </c>
      <c r="B28">
        <f>SUM(Table1[Bonus])</f>
        <v>106300</v>
      </c>
    </row>
    <row r="29" spans="1:22" x14ac:dyDescent="0.35">
      <c r="A29">
        <v>9</v>
      </c>
      <c r="B29">
        <f>SUMIF(Table1[Department],"Sales",Table1[Basic_Salary])</f>
        <v>224000</v>
      </c>
    </row>
    <row r="30" spans="1:22" x14ac:dyDescent="0.35">
      <c r="A30">
        <v>10</v>
      </c>
      <c r="B30" s="6">
        <f>SUMIF(Table1[Department],C4,Table1[Bonus])</f>
        <v>39800</v>
      </c>
    </row>
    <row r="31" spans="1:22" x14ac:dyDescent="0.35">
      <c r="A31">
        <v>11</v>
      </c>
      <c r="B31">
        <f>SUMIF(Table1[Location],DATASET!D2,Table1[Sales_Achieved])</f>
        <v>1982000</v>
      </c>
    </row>
    <row r="32" spans="1:22" x14ac:dyDescent="0.35">
      <c r="A32">
        <v>12</v>
      </c>
      <c r="B32">
        <f>SUMIFS(Table1[Basic_Salary],Table1[Department],C2,Table1[Location],D3)</f>
        <v>105000</v>
      </c>
    </row>
    <row r="33" spans="1:2" x14ac:dyDescent="0.35">
      <c r="A33">
        <v>13</v>
      </c>
      <c r="B33">
        <f>SUMIF(Table1[Performance_Score],"&gt;=90",Table1[Bonus])</f>
        <v>52500</v>
      </c>
    </row>
    <row r="34" spans="1:2" x14ac:dyDescent="0.35">
      <c r="A34">
        <v>14</v>
      </c>
      <c r="B34">
        <f>COUNTIF(Table1[Department],DATASET!C15)</f>
        <v>6</v>
      </c>
    </row>
    <row r="35" spans="1:2" x14ac:dyDescent="0.35">
      <c r="A35">
        <v>15</v>
      </c>
      <c r="B35">
        <f>COUNTIF(Table1[Location],DATASET!D2)</f>
        <v>7</v>
      </c>
    </row>
    <row r="36" spans="1:2" x14ac:dyDescent="0.35">
      <c r="A36">
        <v>16</v>
      </c>
      <c r="B36">
        <f>COUNTIF(Table1[Performance_Score],"&gt;=85")</f>
        <v>12</v>
      </c>
    </row>
    <row r="37" spans="1:2" x14ac:dyDescent="0.35">
      <c r="A37">
        <v>17</v>
      </c>
      <c r="B37">
        <f>COUNTIF(Table1[Attendance_%],"&gt;=95")</f>
        <v>9</v>
      </c>
    </row>
    <row r="38" spans="1:2" x14ac:dyDescent="0.35">
      <c r="A38">
        <v>18</v>
      </c>
      <c r="B38">
        <f>AVERAGEIF(Table1[Department],DATASET!C2,Table1[Basic_Salary])</f>
        <v>37333.333333333336</v>
      </c>
    </row>
    <row r="39" spans="1:2" x14ac:dyDescent="0.35">
      <c r="A39">
        <v>19</v>
      </c>
      <c r="B39">
        <f>AVERAGEIF(Table1[Department],C4,Table1[Performance_Score])</f>
        <v>89.666666666666671</v>
      </c>
    </row>
    <row r="40" spans="1:2" x14ac:dyDescent="0.35">
      <c r="A40">
        <v>20</v>
      </c>
      <c r="B40">
        <f>AVERAGEIF(Table1[Location],DATASET!D2,Table1[Sales_Achieved])</f>
        <v>283142.85714285716</v>
      </c>
    </row>
    <row r="41" spans="1:2" x14ac:dyDescent="0.35">
      <c r="A41">
        <v>21</v>
      </c>
      <c r="B41">
        <f>SUMIF(Table1[Experience_Years],"&gt;=5",Table1[Basic_Salary])</f>
        <v>432000</v>
      </c>
    </row>
    <row r="42" spans="1:2" x14ac:dyDescent="0.35">
      <c r="A42">
        <v>22</v>
      </c>
      <c r="B42">
        <f>SUMIFS(Table1[Sales_Achieved],Table1[Department],C4,Table1[Location],D5)</f>
        <v>775000</v>
      </c>
    </row>
    <row r="43" spans="1:2" x14ac:dyDescent="0.35">
      <c r="A43">
        <v>23</v>
      </c>
      <c r="B43">
        <f>SUMIFS(Table1[Bonus],Table1[Department],C6,Table1[Performance_Score],"&gt;=85")</f>
        <v>27000</v>
      </c>
    </row>
    <row r="44" spans="1:2" x14ac:dyDescent="0.35">
      <c r="A44">
        <v>24</v>
      </c>
      <c r="B44">
        <f>COUNTIFS(Table1[Location],D6,Table1[Performance_Score],"&gt;=85")</f>
        <v>2</v>
      </c>
    </row>
    <row r="45" spans="1:2" x14ac:dyDescent="0.35">
      <c r="A45">
        <v>25</v>
      </c>
      <c r="B45">
        <f>AVERAGEIFS(Table1[Basic_Salary],Table1[Department],DATASET!C5,Table1[Location],DATASET!D5)</f>
        <v>58000</v>
      </c>
    </row>
  </sheetData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9CB9D-B4FB-4B46-BB3D-2C6843CEAF71}">
  <dimension ref="A1:B26"/>
  <sheetViews>
    <sheetView topLeftCell="A16" workbookViewId="0">
      <selection activeCell="B1" sqref="B1:B1048576"/>
    </sheetView>
  </sheetViews>
  <sheetFormatPr defaultRowHeight="14.5" x14ac:dyDescent="0.35"/>
  <cols>
    <col min="2" max="2" width="170.36328125" customWidth="1"/>
  </cols>
  <sheetData>
    <row r="1" spans="1:2" x14ac:dyDescent="0.35">
      <c r="A1" s="3" t="s">
        <v>59</v>
      </c>
      <c r="B1" s="1" t="s">
        <v>60</v>
      </c>
    </row>
    <row r="2" spans="1:2" x14ac:dyDescent="0.35">
      <c r="A2" s="2">
        <v>1</v>
      </c>
      <c r="B2" s="4" t="s">
        <v>61</v>
      </c>
    </row>
    <row r="3" spans="1:2" x14ac:dyDescent="0.35">
      <c r="A3" s="2">
        <v>2</v>
      </c>
      <c r="B3" s="4" t="s">
        <v>62</v>
      </c>
    </row>
    <row r="4" spans="1:2" x14ac:dyDescent="0.35">
      <c r="A4" s="2">
        <v>3</v>
      </c>
      <c r="B4" s="4" t="s">
        <v>63</v>
      </c>
    </row>
    <row r="5" spans="1:2" x14ac:dyDescent="0.35">
      <c r="A5" s="2">
        <v>4</v>
      </c>
      <c r="B5" s="4" t="s">
        <v>64</v>
      </c>
    </row>
    <row r="6" spans="1:2" x14ac:dyDescent="0.35">
      <c r="A6" s="2">
        <v>5</v>
      </c>
      <c r="B6" s="4" t="s">
        <v>65</v>
      </c>
    </row>
    <row r="7" spans="1:2" x14ac:dyDescent="0.35">
      <c r="A7" s="2">
        <v>6</v>
      </c>
      <c r="B7" s="4" t="s">
        <v>66</v>
      </c>
    </row>
    <row r="8" spans="1:2" x14ac:dyDescent="0.35">
      <c r="A8" s="2">
        <v>7</v>
      </c>
      <c r="B8" s="4" t="s">
        <v>67</v>
      </c>
    </row>
    <row r="9" spans="1:2" x14ac:dyDescent="0.35">
      <c r="A9" s="2">
        <v>8</v>
      </c>
      <c r="B9" s="4" t="s">
        <v>68</v>
      </c>
    </row>
    <row r="10" spans="1:2" x14ac:dyDescent="0.35">
      <c r="A10" s="2">
        <v>9</v>
      </c>
      <c r="B10" s="4" t="s">
        <v>69</v>
      </c>
    </row>
    <row r="11" spans="1:2" x14ac:dyDescent="0.35">
      <c r="A11" s="2">
        <v>10</v>
      </c>
      <c r="B11" s="4" t="s">
        <v>70</v>
      </c>
    </row>
    <row r="12" spans="1:2" x14ac:dyDescent="0.35">
      <c r="A12" s="2">
        <v>11</v>
      </c>
      <c r="B12" s="4" t="s">
        <v>71</v>
      </c>
    </row>
    <row r="13" spans="1:2" x14ac:dyDescent="0.35">
      <c r="A13" s="2">
        <v>12</v>
      </c>
      <c r="B13" s="4" t="s">
        <v>72</v>
      </c>
    </row>
    <row r="14" spans="1:2" x14ac:dyDescent="0.35">
      <c r="A14" s="2">
        <v>13</v>
      </c>
      <c r="B14" s="4" t="s">
        <v>73</v>
      </c>
    </row>
    <row r="15" spans="1:2" x14ac:dyDescent="0.35">
      <c r="A15" s="2">
        <v>14</v>
      </c>
      <c r="B15" s="4" t="s">
        <v>74</v>
      </c>
    </row>
    <row r="16" spans="1:2" x14ac:dyDescent="0.35">
      <c r="A16" s="2">
        <v>15</v>
      </c>
      <c r="B16" s="4" t="s">
        <v>75</v>
      </c>
    </row>
    <row r="17" spans="1:2" x14ac:dyDescent="0.35">
      <c r="A17" s="2">
        <v>16</v>
      </c>
      <c r="B17" s="4" t="s">
        <v>76</v>
      </c>
    </row>
    <row r="18" spans="1:2" x14ac:dyDescent="0.35">
      <c r="A18" s="2">
        <v>17</v>
      </c>
      <c r="B18" s="4" t="s">
        <v>77</v>
      </c>
    </row>
    <row r="19" spans="1:2" x14ac:dyDescent="0.35">
      <c r="A19" s="2">
        <v>18</v>
      </c>
      <c r="B19" s="4" t="s">
        <v>78</v>
      </c>
    </row>
    <row r="20" spans="1:2" x14ac:dyDescent="0.35">
      <c r="A20" s="2">
        <v>19</v>
      </c>
      <c r="B20" s="4" t="s">
        <v>79</v>
      </c>
    </row>
    <row r="21" spans="1:2" x14ac:dyDescent="0.35">
      <c r="A21" s="2">
        <v>20</v>
      </c>
      <c r="B21" s="4" t="s">
        <v>80</v>
      </c>
    </row>
    <row r="22" spans="1:2" x14ac:dyDescent="0.35">
      <c r="A22" s="2">
        <v>21</v>
      </c>
      <c r="B22" s="4" t="s">
        <v>81</v>
      </c>
    </row>
    <row r="23" spans="1:2" x14ac:dyDescent="0.35">
      <c r="A23" s="2">
        <v>22</v>
      </c>
      <c r="B23" s="4" t="s">
        <v>82</v>
      </c>
    </row>
    <row r="24" spans="1:2" x14ac:dyDescent="0.35">
      <c r="A24" s="2">
        <v>23</v>
      </c>
      <c r="B24" s="4" t="s">
        <v>83</v>
      </c>
    </row>
    <row r="25" spans="1:2" x14ac:dyDescent="0.35">
      <c r="A25" s="2">
        <v>24</v>
      </c>
      <c r="B25" s="4" t="s">
        <v>84</v>
      </c>
    </row>
    <row r="26" spans="1:2" x14ac:dyDescent="0.35">
      <c r="A26" s="2">
        <v>25</v>
      </c>
      <c r="B26" s="4" t="s">
        <v>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Liba Mariyam K</dc:creator>
  <cp:lastModifiedBy>sadnan adiyattil</cp:lastModifiedBy>
  <dcterms:created xsi:type="dcterms:W3CDTF">2026-09-10T04:01:54Z</dcterms:created>
  <dcterms:modified xsi:type="dcterms:W3CDTF">2026-09-15T06:22:57Z</dcterms:modified>
</cp:coreProperties>
</file>
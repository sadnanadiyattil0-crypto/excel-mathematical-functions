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f6b8b5c635fbe98b/Desktop/data analyisis/"/>
    </mc:Choice>
  </mc:AlternateContent>
  <xr:revisionPtr revIDLastSave="45" documentId="8_{B7AA90D0-A529-4280-99D1-EF61E2935211}" xr6:coauthVersionLast="47" xr6:coauthVersionMax="47" xr10:uidLastSave="{D82C4C4D-E61F-4C7C-839F-DD22EC15E63B}"/>
  <bookViews>
    <workbookView xWindow="-110" yWindow="-110" windowWidth="19420" windowHeight="10300" tabRatio="500" activeTab="2" xr2:uid="{00000000-000D-0000-FFFF-FFFF00000000}"/>
  </bookViews>
  <sheets>
    <sheet name="Instructions" sheetId="1" r:id="rId1"/>
    <sheet name="QUESTIONS" sheetId="6" r:id="rId2"/>
    <sheet name="DATASET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3" i="9" l="1" a="1"/>
  <c r="S3" i="9" s="1"/>
  <c r="S4" i="9" a="1"/>
  <c r="S4" i="9"/>
  <c r="S5" i="9" a="1"/>
  <c r="S5" i="9" s="1"/>
  <c r="S6" i="9" a="1"/>
  <c r="S6" i="9"/>
  <c r="S7" i="9" a="1"/>
  <c r="S7" i="9" s="1"/>
  <c r="S8" i="9" a="1"/>
  <c r="S8" i="9"/>
  <c r="S9" i="9" a="1"/>
  <c r="S9" i="9" s="1"/>
  <c r="S10" i="9" a="1"/>
  <c r="S10" i="9"/>
  <c r="S11" i="9" a="1"/>
  <c r="S11" i="9" s="1"/>
  <c r="S12" i="9" a="1"/>
  <c r="S12" i="9"/>
  <c r="S13" i="9" a="1"/>
  <c r="S13" i="9" s="1"/>
  <c r="S14" i="9" a="1"/>
  <c r="S14" i="9"/>
  <c r="S15" i="9" a="1"/>
  <c r="S15" i="9" s="1"/>
  <c r="S16" i="9" a="1"/>
  <c r="S16" i="9"/>
  <c r="S17" i="9" a="1"/>
  <c r="S17" i="9" s="1"/>
  <c r="S18" i="9" a="1"/>
  <c r="S18" i="9"/>
  <c r="S19" i="9" a="1"/>
  <c r="S19" i="9" s="1"/>
  <c r="S20" i="9" a="1"/>
  <c r="S20" i="9"/>
  <c r="S21" i="9" a="1"/>
  <c r="S21" i="9" s="1"/>
  <c r="S22" i="9" a="1"/>
  <c r="S22" i="9"/>
  <c r="S23" i="9" a="1"/>
  <c r="S23" i="9" s="1"/>
  <c r="S24" i="9" a="1"/>
  <c r="S24" i="9"/>
  <c r="S25" i="9" a="1"/>
  <c r="S25" i="9" s="1"/>
  <c r="S26" i="9" a="1"/>
  <c r="S26" i="9"/>
  <c r="S27" i="9" a="1"/>
  <c r="S27" i="9" s="1"/>
  <c r="S28" i="9" a="1"/>
  <c r="S28" i="9"/>
  <c r="S29" i="9" a="1"/>
  <c r="S29" i="9" s="1"/>
  <c r="S30" i="9" a="1"/>
  <c r="S30" i="9"/>
  <c r="S31" i="9" a="1"/>
  <c r="S31" i="9" s="1"/>
  <c r="S2" i="9" a="1"/>
  <c r="S2" i="9"/>
  <c r="B58" i="9"/>
  <c r="B57" i="9"/>
  <c r="B55" i="9"/>
  <c r="B54" i="9"/>
  <c r="B52" i="9"/>
  <c r="B51" i="9"/>
  <c r="B49" i="9"/>
  <c r="B47" i="9"/>
  <c r="B46" i="9"/>
  <c r="B45" i="9"/>
  <c r="B44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2" i="9"/>
  <c r="B41" i="9"/>
  <c r="B40" i="9"/>
  <c r="B39" i="9"/>
  <c r="O3" i="9"/>
  <c r="Q3" i="9" s="1" a="1"/>
  <c r="Q3" i="9" s="1"/>
  <c r="O4" i="9"/>
  <c r="Q4" i="9" s="1" a="1"/>
  <c r="Q4" i="9" s="1"/>
  <c r="O5" i="9"/>
  <c r="Q5" i="9" s="1" a="1"/>
  <c r="Q5" i="9" s="1"/>
  <c r="O6" i="9"/>
  <c r="Q6" i="9" s="1" a="1"/>
  <c r="Q6" i="9" s="1"/>
  <c r="O7" i="9"/>
  <c r="Q7" i="9" s="1" a="1"/>
  <c r="Q7" i="9" s="1"/>
  <c r="O8" i="9"/>
  <c r="Q8" i="9" s="1" a="1"/>
  <c r="Q8" i="9" s="1"/>
  <c r="O9" i="9"/>
  <c r="Q9" i="9" s="1" a="1"/>
  <c r="Q9" i="9" s="1"/>
  <c r="O10" i="9"/>
  <c r="Q10" i="9" s="1" a="1"/>
  <c r="Q10" i="9" s="1"/>
  <c r="O11" i="9"/>
  <c r="Q11" i="9" s="1" a="1"/>
  <c r="Q11" i="9" s="1"/>
  <c r="O12" i="9"/>
  <c r="Q12" i="9" s="1" a="1"/>
  <c r="Q12" i="9" s="1"/>
  <c r="O13" i="9"/>
  <c r="Q13" i="9" s="1" a="1"/>
  <c r="Q13" i="9" s="1"/>
  <c r="O14" i="9"/>
  <c r="Q14" i="9" s="1" a="1"/>
  <c r="Q14" i="9" s="1"/>
  <c r="O15" i="9"/>
  <c r="Q15" i="9" s="1" a="1"/>
  <c r="Q15" i="9" s="1"/>
  <c r="O16" i="9"/>
  <c r="Q16" i="9" s="1" a="1"/>
  <c r="Q16" i="9" s="1"/>
  <c r="O17" i="9"/>
  <c r="Q17" i="9" s="1" a="1"/>
  <c r="Q17" i="9" s="1"/>
  <c r="O18" i="9"/>
  <c r="Q18" i="9" s="1" a="1"/>
  <c r="Q18" i="9" s="1"/>
  <c r="O19" i="9"/>
  <c r="Q19" i="9" s="1" a="1"/>
  <c r="Q19" i="9" s="1"/>
  <c r="O20" i="9"/>
  <c r="Q20" i="9" s="1" a="1"/>
  <c r="Q20" i="9" s="1"/>
  <c r="O21" i="9"/>
  <c r="Q21" i="9" s="1" a="1"/>
  <c r="Q21" i="9" s="1"/>
  <c r="O22" i="9"/>
  <c r="Q22" i="9" s="1" a="1"/>
  <c r="Q22" i="9" s="1"/>
  <c r="O23" i="9"/>
  <c r="Q23" i="9" s="1" a="1"/>
  <c r="Q23" i="9" s="1"/>
  <c r="O24" i="9"/>
  <c r="Q24" i="9" s="1" a="1"/>
  <c r="Q24" i="9" s="1"/>
  <c r="O25" i="9"/>
  <c r="Q25" i="9" s="1" a="1"/>
  <c r="Q25" i="9" s="1"/>
  <c r="O26" i="9"/>
  <c r="Q26" i="9" s="1" a="1"/>
  <c r="Q26" i="9" s="1"/>
  <c r="O27" i="9"/>
  <c r="Q27" i="9" s="1" a="1"/>
  <c r="Q27" i="9" s="1"/>
  <c r="O28" i="9"/>
  <c r="Q28" i="9" s="1" a="1"/>
  <c r="Q28" i="9" s="1"/>
  <c r="O29" i="9"/>
  <c r="Q29" i="9" s="1" a="1"/>
  <c r="Q29" i="9" s="1"/>
  <c r="O30" i="9"/>
  <c r="Q30" i="9" s="1" a="1"/>
  <c r="Q30" i="9" s="1"/>
  <c r="O31" i="9"/>
  <c r="Q31" i="9" s="1" a="1"/>
  <c r="Q31" i="9" s="1"/>
  <c r="O2" i="9"/>
  <c r="B38" i="9"/>
  <c r="B37" i="9"/>
  <c r="B36" i="9"/>
  <c r="B35" i="9"/>
  <c r="B34" i="9"/>
  <c r="R16" i="9" l="1"/>
  <c r="R8" i="9"/>
  <c r="R11" i="9"/>
  <c r="R15" i="9"/>
  <c r="R7" i="9"/>
  <c r="B60" i="9"/>
  <c r="R12" i="9"/>
  <c r="R2" i="9"/>
  <c r="R5" i="9"/>
  <c r="R29" i="9"/>
  <c r="R25" i="9"/>
  <c r="R21" i="9"/>
  <c r="R4" i="9"/>
  <c r="R28" i="9"/>
  <c r="R24" i="9"/>
  <c r="R20" i="9"/>
  <c r="R18" i="9"/>
  <c r="R14" i="9"/>
  <c r="R10" i="9"/>
  <c r="R31" i="9"/>
  <c r="R27" i="9"/>
  <c r="R23" i="9"/>
  <c r="R19" i="9"/>
  <c r="B59" i="9"/>
  <c r="R6" i="9"/>
  <c r="R17" i="9"/>
  <c r="R13" i="9"/>
  <c r="R9" i="9"/>
  <c r="R30" i="9"/>
  <c r="R26" i="9"/>
  <c r="R22" i="9"/>
  <c r="R3" i="9"/>
  <c r="B56" i="9"/>
  <c r="B50" i="9"/>
  <c r="Q2" i="9" a="1"/>
  <c r="Q2" i="9" s="1"/>
  <c r="B43" i="9"/>
  <c r="B42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<sst xmlns="http://schemas.openxmlformats.org/spreadsheetml/2006/main" count="390" uniqueCount="199">
  <si>
    <t>Route Upskill Academy</t>
  </si>
  <si>
    <t>CANDIDATE DETAILS</t>
  </si>
  <si>
    <t>Student Name:</t>
  </si>
  <si>
    <t>Roll No. / Employee ID:</t>
  </si>
  <si>
    <t>Batch:</t>
  </si>
  <si>
    <t>Date of Exam:</t>
  </si>
  <si>
    <t>Start Time:</t>
  </si>
  <si>
    <t>End Time:</t>
  </si>
  <si>
    <t>EXAM OVERVIEW</t>
  </si>
  <si>
    <t>Duration:</t>
  </si>
  <si>
    <t>1 Hour (60 minutes)</t>
  </si>
  <si>
    <t>Total Marks:</t>
  </si>
  <si>
    <t>50</t>
  </si>
  <si>
    <t>Mode:</t>
  </si>
  <si>
    <t>Practical (formulas must be typed into Excel, not typed as final numbers)</t>
  </si>
  <si>
    <t>INSTRUCTIONS TO CANDIDATES</t>
  </si>
  <si>
    <t>1.</t>
  </si>
  <si>
    <t>2.</t>
  </si>
  <si>
    <t>Yellow-shaded cells are for your answers. Do not edit any other cell.</t>
  </si>
  <si>
    <t>3.</t>
  </si>
  <si>
    <t>Wherever a calculation is asked for, write a working formula in the cell — do not type the final number by hand.</t>
  </si>
  <si>
    <t>4.</t>
  </si>
  <si>
    <t>Do not delete, rename, or reorder any sheet, row, or column.</t>
  </si>
  <si>
    <t>5.</t>
  </si>
  <si>
    <t>7.</t>
  </si>
  <si>
    <t>Raise your hand if you have a doubt about what a task is asking for — do not discuss with other candidates.</t>
  </si>
  <si>
    <t>Good luck!</t>
  </si>
  <si>
    <t>Gender</t>
  </si>
  <si>
    <t>Male</t>
  </si>
  <si>
    <t>Female</t>
  </si>
  <si>
    <t>This is a practical exam. Read every task carefully before answering.</t>
  </si>
  <si>
    <t>Save the file using your name before submitting (e.g. S1_Exam_YourName.xlsx).</t>
  </si>
  <si>
    <t>Customer_Name</t>
  </si>
  <si>
    <t>State</t>
  </si>
  <si>
    <t>Customer_Segment</t>
  </si>
  <si>
    <t>Ananya</t>
  </si>
  <si>
    <t>Kerala</t>
  </si>
  <si>
    <t>Retail</t>
  </si>
  <si>
    <t>Online</t>
  </si>
  <si>
    <t>Rahul</t>
  </si>
  <si>
    <t>Tamil Nadu</t>
  </si>
  <si>
    <t>Meera</t>
  </si>
  <si>
    <t>Karnataka</t>
  </si>
  <si>
    <t>Arjun</t>
  </si>
  <si>
    <t>Mobile App</t>
  </si>
  <si>
    <t>Diya</t>
  </si>
  <si>
    <t>Maharashtra</t>
  </si>
  <si>
    <t>Vivek</t>
  </si>
  <si>
    <t>Delhi</t>
  </si>
  <si>
    <t>Sneha</t>
  </si>
  <si>
    <t>Nikhil</t>
  </si>
  <si>
    <t>Telangana</t>
  </si>
  <si>
    <t>Fathima</t>
  </si>
  <si>
    <t>Adithya</t>
  </si>
  <si>
    <t>Lakshmi</t>
  </si>
  <si>
    <t>Andhra Pradesh</t>
  </si>
  <si>
    <t>Rohan</t>
  </si>
  <si>
    <t>Aisha</t>
  </si>
  <si>
    <t>Manu</t>
  </si>
  <si>
    <t>Gokul</t>
  </si>
  <si>
    <t>Isha</t>
  </si>
  <si>
    <t>Varun</t>
  </si>
  <si>
    <t>Neha</t>
  </si>
  <si>
    <t>Sanjay</t>
  </si>
  <si>
    <t>Amal</t>
  </si>
  <si>
    <t>Pooja</t>
  </si>
  <si>
    <t>Karn</t>
  </si>
  <si>
    <t>Reshma</t>
  </si>
  <si>
    <t>Joel</t>
  </si>
  <si>
    <t>Anu</t>
  </si>
  <si>
    <t>Rakesh</t>
  </si>
  <si>
    <t>Sumi</t>
  </si>
  <si>
    <t>Abhishek</t>
  </si>
  <si>
    <t>Hiba</t>
  </si>
  <si>
    <t xml:space="preserve"> EXCEL PRACTICAL EXAMINATION</t>
  </si>
  <si>
    <t>Kavya</t>
  </si>
  <si>
    <t>Order_ID</t>
  </si>
  <si>
    <t>Category</t>
  </si>
  <si>
    <t>Product</t>
  </si>
  <si>
    <t>Sales_Channel</t>
  </si>
  <si>
    <t>Quantity</t>
  </si>
  <si>
    <t>Unit_Price</t>
  </si>
  <si>
    <t>Discount</t>
  </si>
  <si>
    <t>Shipping_Cost</t>
  </si>
  <si>
    <t>Payment_Mode</t>
  </si>
  <si>
    <t>Order_Status</t>
  </si>
  <si>
    <t>ORD001</t>
  </si>
  <si>
    <t>Electronics</t>
  </si>
  <si>
    <t>Headphones</t>
  </si>
  <si>
    <t>UPI</t>
  </si>
  <si>
    <t>Delivered</t>
  </si>
  <si>
    <t>ORD002</t>
  </si>
  <si>
    <t>Furniture</t>
  </si>
  <si>
    <t>Office Chair</t>
  </si>
  <si>
    <t>Website</t>
  </si>
  <si>
    <t>Corporate</t>
  </si>
  <si>
    <t>Card</t>
  </si>
  <si>
    <t>ORD003</t>
  </si>
  <si>
    <t>Clothing</t>
  </si>
  <si>
    <t>Dress</t>
  </si>
  <si>
    <t>ORD004</t>
  </si>
  <si>
    <t>Keyboard</t>
  </si>
  <si>
    <t>Cash</t>
  </si>
  <si>
    <t>ORD005</t>
  </si>
  <si>
    <t>Beauty</t>
  </si>
  <si>
    <t>Skincare Kit</t>
  </si>
  <si>
    <t>ORD006</t>
  </si>
  <si>
    <t>Monitor</t>
  </si>
  <si>
    <t>ORD007</t>
  </si>
  <si>
    <t>Study Table</t>
  </si>
  <si>
    <t>ORD008</t>
  </si>
  <si>
    <t>Jeans</t>
  </si>
  <si>
    <t>ORD009</t>
  </si>
  <si>
    <t>Perfume</t>
  </si>
  <si>
    <t>ORD010</t>
  </si>
  <si>
    <t>Smartwatch</t>
  </si>
  <si>
    <t>ORD011</t>
  </si>
  <si>
    <t>Saree</t>
  </si>
  <si>
    <t>ORD012</t>
  </si>
  <si>
    <t>Sofa</t>
  </si>
  <si>
    <t>ORD013</t>
  </si>
  <si>
    <t>Mouse</t>
  </si>
  <si>
    <t>ORD014</t>
  </si>
  <si>
    <t>Bookshelf</t>
  </si>
  <si>
    <t>ORD015</t>
  </si>
  <si>
    <t>Jacket</t>
  </si>
  <si>
    <t>ORD016</t>
  </si>
  <si>
    <t>Makeup Kit</t>
  </si>
  <si>
    <t>ORD017</t>
  </si>
  <si>
    <t>Speaker</t>
  </si>
  <si>
    <t>ORD018</t>
  </si>
  <si>
    <t>Dining Chair</t>
  </si>
  <si>
    <t>ORD019</t>
  </si>
  <si>
    <t>Power Bank</t>
  </si>
  <si>
    <t>ORD020</t>
  </si>
  <si>
    <t>Hair Dryer</t>
  </si>
  <si>
    <t>ORD021</t>
  </si>
  <si>
    <t>T-Shirt</t>
  </si>
  <si>
    <t>ORD022</t>
  </si>
  <si>
    <t>Tablet</t>
  </si>
  <si>
    <t>ORD023</t>
  </si>
  <si>
    <t>ORD024</t>
  </si>
  <si>
    <t>Formal Shirt</t>
  </si>
  <si>
    <t>ORD025</t>
  </si>
  <si>
    <t>Face Cream</t>
  </si>
  <si>
    <t>ORD026</t>
  </si>
  <si>
    <t>Laptop Bag</t>
  </si>
  <si>
    <t>ORD027</t>
  </si>
  <si>
    <t>Recliner</t>
  </si>
  <si>
    <t>ORD028</t>
  </si>
  <si>
    <t>Kurti</t>
  </si>
  <si>
    <t>ORD029</t>
  </si>
  <si>
    <t>Earbuds</t>
  </si>
  <si>
    <t>ORD030</t>
  </si>
  <si>
    <t>Shampoo</t>
  </si>
  <si>
    <t>Excel Practical Examination – E-Commerce Analysis</t>
  </si>
  <si>
    <t>1. Calculate the total Quantity of products sold across all orders.</t>
  </si>
  <si>
    <t>2. Find the highest Unit Price in the dataset.</t>
  </si>
  <si>
    <t>3. Calculate the average Unit Price of all products.</t>
  </si>
  <si>
    <t>4. Count the number of orders placed through the Online channel.</t>
  </si>
  <si>
    <t>5. Calculate the total Shipping Cost for customers from Kerala.</t>
  </si>
  <si>
    <r>
      <t xml:space="preserve">6. Create a new column named </t>
    </r>
    <r>
      <rPr>
        <b/>
        <sz val="11"/>
        <color theme="1"/>
        <rFont val="Calibri"/>
        <family val="2"/>
        <charset val="1"/>
      </rPr>
      <t>Order Value</t>
    </r>
    <r>
      <rPr>
        <sz val="11"/>
        <color theme="1"/>
        <rFont val="Calibri"/>
        <family val="2"/>
        <charset val="1"/>
      </rPr>
      <t xml:space="preserve"> by multiplying Quantity by Unit Price.</t>
    </r>
  </si>
  <si>
    <t>7. Find the minimum Discount offered on any order.</t>
  </si>
  <si>
    <t>8. Calculate the average Quantity purchased by Retail customers.</t>
  </si>
  <si>
    <t>9. Count the number of customers from Kerala who purchased Electronics products.</t>
  </si>
  <si>
    <t>10. Calculate the total Order Value for customers from Karnataka.</t>
  </si>
  <si>
    <r>
      <t xml:space="preserve">11. Create a new column named </t>
    </r>
    <r>
      <rPr>
        <b/>
        <sz val="11"/>
        <color theme="1"/>
        <rFont val="Calibri"/>
        <family val="2"/>
        <charset val="1"/>
      </rPr>
      <t>Order Classification</t>
    </r>
    <r>
      <rPr>
        <sz val="11"/>
        <color theme="1"/>
        <rFont val="Calibri"/>
        <family val="2"/>
        <charset val="1"/>
      </rPr>
      <t xml:space="preserve">. If the Quantity is 3 or more AND the Unit Price is above 3,000, return </t>
    </r>
    <r>
      <rPr>
        <b/>
        <sz val="11"/>
        <color theme="1"/>
        <rFont val="Calibri"/>
        <family val="2"/>
        <charset val="1"/>
      </rPr>
      <t>"High Value Order"</t>
    </r>
    <r>
      <rPr>
        <sz val="11"/>
        <color theme="1"/>
        <rFont val="Calibri"/>
        <family val="2"/>
        <charset val="1"/>
      </rPr>
      <t xml:space="preserve">; otherwise, return </t>
    </r>
    <r>
      <rPr>
        <b/>
        <sz val="11"/>
        <color theme="1"/>
        <rFont val="Calibri"/>
        <family val="2"/>
        <charset val="1"/>
      </rPr>
      <t>"Regular Order"</t>
    </r>
    <r>
      <rPr>
        <sz val="11"/>
        <color theme="1"/>
        <rFont val="Calibri"/>
        <family val="2"/>
        <charset val="1"/>
      </rPr>
      <t>.</t>
    </r>
  </si>
  <si>
    <t>12. Find the maximum Order Value among Corporate customers.</t>
  </si>
  <si>
    <t>13. Calculate the total number of customer records in the dataset.</t>
  </si>
  <si>
    <t>14. Calculate the average Discount for customers who purchased Clothing products.</t>
  </si>
  <si>
    <t>15. Count the number of Female customers.</t>
  </si>
  <si>
    <t>16. Calculate the total Quantity sold through the Mobile App.</t>
  </si>
  <si>
    <r>
      <t xml:space="preserve">17. Create a new column named </t>
    </r>
    <r>
      <rPr>
        <b/>
        <sz val="11"/>
        <color theme="1"/>
        <rFont val="Calibri"/>
        <family val="2"/>
        <charset val="1"/>
      </rPr>
      <t>Purchase Level</t>
    </r>
    <r>
      <rPr>
        <sz val="11"/>
        <color theme="1"/>
        <rFont val="Calibri"/>
        <family val="2"/>
        <charset val="1"/>
      </rPr>
      <t xml:space="preserve">. If Order Value is below 5,000, return </t>
    </r>
    <r>
      <rPr>
        <b/>
        <sz val="11"/>
        <color theme="1"/>
        <rFont val="Calibri"/>
        <family val="2"/>
        <charset val="1"/>
      </rPr>
      <t>"Low"</t>
    </r>
    <r>
      <rPr>
        <sz val="11"/>
        <color theme="1"/>
        <rFont val="Calibri"/>
        <family val="2"/>
        <charset val="1"/>
      </rPr>
      <t xml:space="preserve">; if it is from 5,000 to below 15,000, return </t>
    </r>
    <r>
      <rPr>
        <b/>
        <sz val="11"/>
        <color theme="1"/>
        <rFont val="Calibri"/>
        <family val="2"/>
        <charset val="1"/>
      </rPr>
      <t>"Medium"</t>
    </r>
    <r>
      <rPr>
        <sz val="11"/>
        <color theme="1"/>
        <rFont val="Calibri"/>
        <family val="2"/>
        <charset val="1"/>
      </rPr>
      <t xml:space="preserve">; and if it is 15,000 or above, return </t>
    </r>
    <r>
      <rPr>
        <b/>
        <sz val="11"/>
        <color theme="1"/>
        <rFont val="Calibri"/>
        <family val="2"/>
        <charset val="1"/>
      </rPr>
      <t>"High"</t>
    </r>
    <r>
      <rPr>
        <sz val="11"/>
        <color theme="1"/>
        <rFont val="Calibri"/>
        <family val="2"/>
        <charset val="1"/>
      </rPr>
      <t>.</t>
    </r>
  </si>
  <si>
    <t>18. Find the minimum Unit Price among Electronics products.</t>
  </si>
  <si>
    <t>19. Calculate the total Order Value for Retail customers from Kerala.</t>
  </si>
  <si>
    <t>20. Count the number of Male customers from Tamil Nadu.</t>
  </si>
  <si>
    <t>21. Calculate the average Unit Price of Furniture products.</t>
  </si>
  <si>
    <r>
      <t xml:space="preserve">22. Create a new column named </t>
    </r>
    <r>
      <rPr>
        <b/>
        <sz val="11"/>
        <color theme="1"/>
        <rFont val="Calibri"/>
        <family val="2"/>
        <charset val="1"/>
      </rPr>
      <t>Order Priority</t>
    </r>
    <r>
      <rPr>
        <sz val="11"/>
        <color theme="1"/>
        <rFont val="Calibri"/>
        <family val="2"/>
        <charset val="1"/>
      </rPr>
      <t xml:space="preserve">. If the customer belongs to the Corporate segment OR the Order Value is above 15,000, return </t>
    </r>
    <r>
      <rPr>
        <b/>
        <sz val="11"/>
        <color theme="1"/>
        <rFont val="Calibri"/>
        <family val="2"/>
        <charset val="1"/>
      </rPr>
      <t>"Priority"</t>
    </r>
    <r>
      <rPr>
        <sz val="11"/>
        <color theme="1"/>
        <rFont val="Calibri"/>
        <family val="2"/>
        <charset val="1"/>
      </rPr>
      <t xml:space="preserve">; otherwise, return </t>
    </r>
    <r>
      <rPr>
        <b/>
        <sz val="11"/>
        <color theme="1"/>
        <rFont val="Calibri"/>
        <family val="2"/>
        <charset val="1"/>
      </rPr>
      <t>"Standard"</t>
    </r>
    <r>
      <rPr>
        <sz val="11"/>
        <color theme="1"/>
        <rFont val="Calibri"/>
        <family val="2"/>
        <charset val="1"/>
      </rPr>
      <t>.</t>
    </r>
  </si>
  <si>
    <t>23. Find the maximum Discount among orders placed through the Website.</t>
  </si>
  <si>
    <t>24. Calculate the total Shipping Cost for Corporate customers.</t>
  </si>
  <si>
    <t>25. Calculate the average Order Value for customers who used UPI.</t>
  </si>
  <si>
    <t>26. Count the number of Kerala customers who purchased products through the Online channel.</t>
  </si>
  <si>
    <t>27. Calculate the total Quantity sold for Clothing products in Kerala.</t>
  </si>
  <si>
    <t>28. Find the minimum Order Value among Beauty products.</t>
  </si>
  <si>
    <t>29. Calculate the average Order Value for Retail customers who purchased Electronics products.</t>
  </si>
  <si>
    <r>
      <t xml:space="preserve">30. Create a new column named </t>
    </r>
    <r>
      <rPr>
        <b/>
        <sz val="11"/>
        <color theme="1"/>
        <rFont val="Calibri"/>
        <family val="2"/>
        <charset val="1"/>
      </rPr>
      <t>Customer Value Level</t>
    </r>
    <r>
      <rPr>
        <sz val="11"/>
        <color theme="1"/>
        <rFont val="Calibri"/>
        <family val="2"/>
        <charset val="1"/>
      </rPr>
      <t xml:space="preserve">. Classify each order as </t>
    </r>
    <r>
      <rPr>
        <b/>
        <sz val="11"/>
        <color theme="1"/>
        <rFont val="Calibri"/>
        <family val="2"/>
        <charset val="1"/>
      </rPr>
      <t>"Basic"</t>
    </r>
    <r>
      <rPr>
        <sz val="11"/>
        <color theme="1"/>
        <rFont val="Calibri"/>
        <family val="2"/>
        <charset val="1"/>
      </rPr>
      <t xml:space="preserve"> when Order Value is below 5,000, </t>
    </r>
    <r>
      <rPr>
        <b/>
        <sz val="11"/>
        <color theme="1"/>
        <rFont val="Calibri"/>
        <family val="2"/>
        <charset val="1"/>
      </rPr>
      <t>"Standard"</t>
    </r>
    <r>
      <rPr>
        <sz val="11"/>
        <color theme="1"/>
        <rFont val="Calibri"/>
        <family val="2"/>
        <charset val="1"/>
      </rPr>
      <t xml:space="preserve"> when Order Value is from 5,000 to below 15,000, and </t>
    </r>
    <r>
      <rPr>
        <b/>
        <sz val="11"/>
        <color theme="1"/>
        <rFont val="Calibri"/>
        <family val="2"/>
        <charset val="1"/>
      </rPr>
      <t>"Premium"</t>
    </r>
    <r>
      <rPr>
        <sz val="11"/>
        <color theme="1"/>
        <rFont val="Calibri"/>
        <family val="2"/>
        <charset val="1"/>
      </rPr>
      <t xml:space="preserve"> when Order Value is 15,000 or above.</t>
    </r>
  </si>
  <si>
    <t>EACH QUESTION CARRIES 2 MARKS --TOTAL 60 MARKS</t>
  </si>
  <si>
    <t>SADNAN A</t>
  </si>
  <si>
    <t>RADA1209</t>
  </si>
  <si>
    <t xml:space="preserve">RADA12 </t>
  </si>
  <si>
    <t>18/09/2026</t>
  </si>
  <si>
    <t>Q:NO</t>
  </si>
  <si>
    <t>ANSWER</t>
  </si>
  <si>
    <t>6,ORDER VALUE</t>
  </si>
  <si>
    <t>11. ORDER CLASSIFICATION</t>
  </si>
  <si>
    <t>17.purchase level</t>
  </si>
  <si>
    <t>22 ,order priority</t>
  </si>
  <si>
    <t>table</t>
  </si>
  <si>
    <t>30,customer value levevl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</si>
</sst>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charset val="1"/>
    </font>
    <font>
      <b/>
      <sz val="20"/>
      <color rgb="FF0B1F5C"/>
      <name val="Arial"/>
      <charset val="1"/>
    </font>
    <font>
      <i/>
      <sz val="11"/>
      <color rgb="FF555555"/>
      <name val="Arial"/>
      <charset val="1"/>
    </font>
    <font>
      <b/>
      <sz val="13"/>
      <color rgb="FFFFFFFF"/>
      <name val="Arial"/>
      <charset val="1"/>
    </font>
    <font>
      <b/>
      <sz val="11"/>
      <color rgb="FF0B1F5C"/>
      <name val="Arial"/>
      <charset val="1"/>
    </font>
    <font>
      <sz val="10.5"/>
      <color rgb="FF333333"/>
      <name val="Arial"/>
      <charset val="1"/>
    </font>
    <font>
      <b/>
      <sz val="10.5"/>
      <color rgb="FF0B1F5C"/>
      <name val="Arial"/>
      <charset val="1"/>
    </font>
    <font>
      <b/>
      <i/>
      <sz val="11"/>
      <color rgb="FF0B1F5C"/>
      <name val="Arial"/>
      <charset val="1"/>
    </font>
    <font>
      <b/>
      <sz val="11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B1F5C"/>
        <bgColor rgb="FF222222"/>
      </patternFill>
    </fill>
    <fill>
      <patternFill patternType="solid">
        <fgColor rgb="FFFFF2A8"/>
        <b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66666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/>
    <xf numFmtId="0" fontId="3" fillId="2" borderId="0" xfId="0" applyFont="1" applyFill="1" applyAlignment="1">
      <alignment horizontal="left" vertical="center" indent="1"/>
    </xf>
    <xf numFmtId="0" fontId="0" fillId="3" borderId="1" xfId="0" applyFill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B745D8B2-0788-4870-BAC1-B8E0F3AA613E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555555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1F5C"/>
      <rgbColor rgb="FF339966"/>
      <rgbColor rgb="FF003300"/>
      <rgbColor rgb="FF222222"/>
      <rgbColor rgb="FF993300"/>
      <rgbColor rgb="FF993366"/>
      <rgbColor rgb="FF1F3B8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925200</xdr:colOff>
      <xdr:row>4</xdr:row>
      <xdr:rowOff>142200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1320" y="190440"/>
          <a:ext cx="2476080" cy="71388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0F1F6E-915F-410C-AE14-2ABD4FEFDB24}" name="Table5" displayName="Table5" ref="A1:S31" totalsRowShown="0" headerRowDxfId="20" dataDxfId="19">
  <autoFilter ref="A1:S31" xr:uid="{540F1F6E-915F-410C-AE14-2ABD4FEFDB24}"/>
  <tableColumns count="19">
    <tableColumn id="1" xr3:uid="{C4BE9744-5FFD-4AE2-B7D9-7D10DA5FFB23}" name="Order_ID" dataDxfId="18"/>
    <tableColumn id="2" xr3:uid="{DA450F73-348E-440A-9660-8AE5B3029F33}" name="Customer_Name" dataDxfId="17"/>
    <tableColumn id="3" xr3:uid="{C09FE313-548C-4D9C-9210-CE6BC0605F2B}" name="Gender" dataDxfId="16"/>
    <tableColumn id="4" xr3:uid="{547921B3-C22F-4FCD-A8EB-24AABCAB1EA5}" name="State" dataDxfId="15"/>
    <tableColumn id="5" xr3:uid="{EC8BF8E5-B2B4-48C7-A636-2305A01DEDBB}" name="Category" dataDxfId="14"/>
    <tableColumn id="6" xr3:uid="{6179A7D1-3AA7-44A0-A215-5F428C9A994A}" name="Product" dataDxfId="13"/>
    <tableColumn id="7" xr3:uid="{0C025A79-C2F7-4742-B14B-3DAE0442CFF8}" name="Sales_Channel" dataDxfId="12"/>
    <tableColumn id="8" xr3:uid="{629F4D4D-C966-4DFD-81BC-2EBAA93D3914}" name="Quantity" dataDxfId="11"/>
    <tableColumn id="9" xr3:uid="{2178EE2A-EDDF-4C85-9FFD-FBDB5B236EA8}" name="Unit_Price" dataDxfId="10"/>
    <tableColumn id="10" xr3:uid="{A9F9F6B5-1AAC-4062-B378-F172AD363929}" name="Discount" dataDxfId="9"/>
    <tableColumn id="11" xr3:uid="{69241167-5023-4087-9BEC-09534EFC1161}" name="Shipping_Cost" dataDxfId="8"/>
    <tableColumn id="12" xr3:uid="{F58CD8F3-450E-4E7C-836B-C7ED95175E3C}" name="Customer_Segment" dataDxfId="7"/>
    <tableColumn id="13" xr3:uid="{AA07390E-D0B0-424C-92AD-ECA669228D27}" name="Payment_Mode" dataDxfId="6"/>
    <tableColumn id="14" xr3:uid="{A4384BF1-8C01-4628-A3DF-A6E5DD904D2B}" name="Order_Status" dataDxfId="5"/>
    <tableColumn id="16" xr3:uid="{3187E7EA-9BA2-4EC4-BA16-4C41B1211EA6}" name="6,ORDER VALUE" dataDxfId="4">
      <calculatedColumnFormula>PRODUCT(Table5[[#This Row],[Quantity]],Table5[[#This Row],[Unit_Price]])</calculatedColumnFormula>
    </tableColumn>
    <tableColumn id="17" xr3:uid="{CA5FCCFE-5B41-4C15-8A74-0ABDCFDA4E1B}" name="11. ORDER CLASSIFICATION" dataDxfId="3">
      <calculatedColumnFormula>IF(AND(Table5[[#This Row],[Quantity]]&gt;=3,Table5[[#This Row],[Unit_Price]]&gt;=3000),"HIGH VALUE ORDER","REGULAR ORDER")</calculatedColumnFormula>
    </tableColumn>
    <tableColumn id="18" xr3:uid="{ABFFC5D7-F705-4765-9289-41313F8B520B}" name="17.purchase level" dataDxfId="2">
      <calculatedColumnFormula array="1">_xlfn.IFS(Table5[[#This Row],[6,ORDER VALUE]]&lt;=5000,"low",Table5[[#This Row],[6,ORDER VALUE]]&lt;=15000,"medium",Table5[[#This Row],[6,ORDER VALUE]]&gt;=15000,"high")</calculatedColumnFormula>
    </tableColumn>
    <tableColumn id="19" xr3:uid="{F176DFBB-A6C2-4FDF-8D27-9AAA5D7E3212}" name="22 ,order priority" dataDxfId="1"/>
    <tableColumn id="21" xr3:uid="{8E7B1369-A2E2-4C72-9473-354AEFBDB909}" name="30,customer value levevl" dataDxfId="0">
      <calculatedColumnFormula array="1">_xlfn.IFS(Table5[[#This Row],[6,ORDER VALUE]]&lt;=5000,"basic",Table5[[#This Row],[6,ORDER VALUE]]&lt;=15000,"standerd",Table5[[#This Row],[6,ORDER VALUE]]&gt;=15000,"premium")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06047E-A575-4266-A0E3-FB24D9C4980F}" name="Table1" displayName="Table1" ref="A33:B61" totalsRowShown="0">
  <autoFilter ref="A33:B61" xr:uid="{B506047E-A575-4266-A0E3-FB24D9C4980F}"/>
  <tableColumns count="2">
    <tableColumn id="1" xr3:uid="{0305D744-8B9A-425B-A184-9DCA05AC7BB2}" name="Q:NO"/>
    <tableColumn id="2" xr3:uid="{EED9A7B0-313F-4DA7-8810-8B8C15E84452}" name="ANSW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G30"/>
  <sheetViews>
    <sheetView showGridLines="0" topLeftCell="A22" zoomScaleNormal="100" workbookViewId="0">
      <selection activeCell="C14" sqref="C14:E14"/>
    </sheetView>
  </sheetViews>
  <sheetFormatPr defaultColWidth="8.6328125" defaultRowHeight="14.5" x14ac:dyDescent="0.35"/>
  <cols>
    <col min="1" max="1" width="3" customWidth="1"/>
    <col min="2" max="7" width="22" customWidth="1"/>
    <col min="8" max="8" width="3" customWidth="1"/>
  </cols>
  <sheetData>
    <row r="6" spans="2:7" ht="25" x14ac:dyDescent="0.5">
      <c r="B6" s="13" t="s">
        <v>74</v>
      </c>
      <c r="C6" s="13"/>
      <c r="D6" s="13"/>
      <c r="E6" s="13"/>
      <c r="F6" s="13"/>
      <c r="G6" s="13"/>
    </row>
    <row r="7" spans="2:7" x14ac:dyDescent="0.35">
      <c r="B7" s="14" t="s">
        <v>0</v>
      </c>
      <c r="C7" s="14"/>
      <c r="D7" s="14"/>
      <c r="E7" s="14"/>
      <c r="F7" s="14"/>
      <c r="G7" s="14"/>
    </row>
    <row r="9" spans="2:7" ht="21.75" customHeight="1" x14ac:dyDescent="0.35">
      <c r="B9" s="11" t="s">
        <v>1</v>
      </c>
      <c r="C9" s="11"/>
      <c r="D9" s="11"/>
      <c r="E9" s="11"/>
      <c r="F9" s="11"/>
      <c r="G9" s="11"/>
    </row>
    <row r="10" spans="2:7" x14ac:dyDescent="0.35">
      <c r="B10" s="1" t="s">
        <v>2</v>
      </c>
      <c r="C10" s="12" t="s">
        <v>187</v>
      </c>
      <c r="D10" s="12"/>
      <c r="E10" s="12"/>
    </row>
    <row r="11" spans="2:7" x14ac:dyDescent="0.35">
      <c r="B11" s="1" t="s">
        <v>3</v>
      </c>
      <c r="C11" s="12" t="s">
        <v>188</v>
      </c>
      <c r="D11" s="12"/>
      <c r="E11" s="12"/>
    </row>
    <row r="12" spans="2:7" x14ac:dyDescent="0.35">
      <c r="B12" s="1" t="s">
        <v>4</v>
      </c>
      <c r="C12" s="12" t="s">
        <v>189</v>
      </c>
      <c r="D12" s="12"/>
      <c r="E12" s="12"/>
    </row>
    <row r="13" spans="2:7" x14ac:dyDescent="0.35">
      <c r="B13" s="1" t="s">
        <v>5</v>
      </c>
      <c r="C13" s="12" t="s">
        <v>190</v>
      </c>
      <c r="D13" s="12"/>
      <c r="E13" s="12"/>
    </row>
    <row r="14" spans="2:7" x14ac:dyDescent="0.35">
      <c r="B14" s="1" t="s">
        <v>6</v>
      </c>
      <c r="C14" s="12"/>
      <c r="D14" s="12"/>
      <c r="E14" s="12"/>
    </row>
    <row r="15" spans="2:7" x14ac:dyDescent="0.35">
      <c r="B15" s="1" t="s">
        <v>7</v>
      </c>
      <c r="C15" s="12"/>
      <c r="D15" s="12"/>
      <c r="E15" s="12"/>
    </row>
    <row r="17" spans="2:7" ht="21.75" customHeight="1" x14ac:dyDescent="0.35">
      <c r="B17" s="11" t="s">
        <v>8</v>
      </c>
      <c r="C17" s="11"/>
      <c r="D17" s="11"/>
      <c r="E17" s="11"/>
      <c r="F17" s="11"/>
      <c r="G17" s="11"/>
    </row>
    <row r="18" spans="2:7" x14ac:dyDescent="0.35">
      <c r="B18" s="1" t="s">
        <v>9</v>
      </c>
      <c r="C18" s="10" t="s">
        <v>10</v>
      </c>
      <c r="D18" s="10"/>
      <c r="E18" s="10"/>
      <c r="F18" s="10"/>
      <c r="G18" s="10"/>
    </row>
    <row r="19" spans="2:7" x14ac:dyDescent="0.35">
      <c r="B19" s="1" t="s">
        <v>11</v>
      </c>
      <c r="C19" s="10" t="s">
        <v>12</v>
      </c>
      <c r="D19" s="10"/>
      <c r="E19" s="10"/>
      <c r="F19" s="10"/>
      <c r="G19" s="10"/>
    </row>
    <row r="20" spans="2:7" x14ac:dyDescent="0.35">
      <c r="B20" s="1" t="s">
        <v>13</v>
      </c>
      <c r="C20" s="10" t="s">
        <v>14</v>
      </c>
      <c r="D20" s="10"/>
      <c r="E20" s="10"/>
      <c r="F20" s="10"/>
      <c r="G20" s="10"/>
    </row>
    <row r="22" spans="2:7" ht="21.75" customHeight="1" x14ac:dyDescent="0.35">
      <c r="B22" s="11" t="s">
        <v>15</v>
      </c>
      <c r="C22" s="11"/>
      <c r="D22" s="11"/>
      <c r="E22" s="11"/>
      <c r="F22" s="11"/>
      <c r="G22" s="11"/>
    </row>
    <row r="23" spans="2:7" ht="15.75" customHeight="1" x14ac:dyDescent="0.35">
      <c r="B23" s="2" t="s">
        <v>16</v>
      </c>
      <c r="C23" s="10" t="s">
        <v>30</v>
      </c>
      <c r="D23" s="10"/>
      <c r="E23" s="10"/>
      <c r="F23" s="10"/>
      <c r="G23" s="10"/>
    </row>
    <row r="24" spans="2:7" ht="15.75" customHeight="1" x14ac:dyDescent="0.35">
      <c r="B24" s="2" t="s">
        <v>17</v>
      </c>
      <c r="C24" s="10" t="s">
        <v>18</v>
      </c>
      <c r="D24" s="10"/>
      <c r="E24" s="10"/>
      <c r="F24" s="10"/>
      <c r="G24" s="10"/>
    </row>
    <row r="25" spans="2:7" ht="15.75" customHeight="1" x14ac:dyDescent="0.35">
      <c r="B25" s="2" t="s">
        <v>19</v>
      </c>
      <c r="C25" s="10" t="s">
        <v>20</v>
      </c>
      <c r="D25" s="10"/>
      <c r="E25" s="10"/>
      <c r="F25" s="10"/>
      <c r="G25" s="10"/>
    </row>
    <row r="26" spans="2:7" ht="15.75" customHeight="1" x14ac:dyDescent="0.35">
      <c r="B26" s="2" t="s">
        <v>21</v>
      </c>
      <c r="C26" s="10" t="s">
        <v>22</v>
      </c>
      <c r="D26" s="10"/>
      <c r="E26" s="10"/>
      <c r="F26" s="10"/>
      <c r="G26" s="10"/>
    </row>
    <row r="27" spans="2:7" ht="15.75" customHeight="1" x14ac:dyDescent="0.35">
      <c r="B27" s="2" t="s">
        <v>23</v>
      </c>
      <c r="C27" s="10" t="s">
        <v>31</v>
      </c>
      <c r="D27" s="10"/>
      <c r="E27" s="10"/>
      <c r="F27" s="10"/>
      <c r="G27" s="10"/>
    </row>
    <row r="28" spans="2:7" ht="15.75" customHeight="1" x14ac:dyDescent="0.35">
      <c r="B28" s="2" t="s">
        <v>24</v>
      </c>
      <c r="C28" s="10" t="s">
        <v>25</v>
      </c>
      <c r="D28" s="10"/>
      <c r="E28" s="10"/>
      <c r="F28" s="10"/>
      <c r="G28" s="10"/>
    </row>
    <row r="30" spans="2:7" x14ac:dyDescent="0.35">
      <c r="B30" s="3" t="s">
        <v>26</v>
      </c>
    </row>
  </sheetData>
  <mergeCells count="20">
    <mergeCell ref="B6:G6"/>
    <mergeCell ref="B7:G7"/>
    <mergeCell ref="B9:G9"/>
    <mergeCell ref="C10:E10"/>
    <mergeCell ref="C11:E11"/>
    <mergeCell ref="C12:E12"/>
    <mergeCell ref="C13:E13"/>
    <mergeCell ref="C14:E14"/>
    <mergeCell ref="C15:E15"/>
    <mergeCell ref="B17:G17"/>
    <mergeCell ref="C18:G18"/>
    <mergeCell ref="C19:G19"/>
    <mergeCell ref="C20:G20"/>
    <mergeCell ref="B22:G22"/>
    <mergeCell ref="C28:G28"/>
    <mergeCell ref="C23:G23"/>
    <mergeCell ref="C24:G24"/>
    <mergeCell ref="C25:G25"/>
    <mergeCell ref="C26:G26"/>
    <mergeCell ref="C27:G2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3FC3-5129-4F5F-81DC-4A92679F4453}">
  <dimension ref="A1:A63"/>
  <sheetViews>
    <sheetView showGridLines="0" topLeftCell="B19" workbookViewId="0">
      <selection activeCell="A20" sqref="A20"/>
    </sheetView>
  </sheetViews>
  <sheetFormatPr defaultRowHeight="14.5" x14ac:dyDescent="0.35"/>
  <cols>
    <col min="1" max="1" width="13.81640625" customWidth="1"/>
    <col min="2" max="2" width="17" customWidth="1"/>
    <col min="4" max="4" width="12.08984375" customWidth="1"/>
    <col min="5" max="5" width="19.453125" customWidth="1"/>
    <col min="6" max="6" width="9.81640625" customWidth="1"/>
    <col min="7" max="7" width="14.90625" customWidth="1"/>
    <col min="8" max="8" width="14.08984375" customWidth="1"/>
    <col min="9" max="9" width="16.36328125" customWidth="1"/>
    <col min="10" max="10" width="14.453125" customWidth="1"/>
    <col min="11" max="11" width="15.6328125" customWidth="1"/>
    <col min="12" max="12" width="15" customWidth="1"/>
    <col min="13" max="13" width="18.36328125" customWidth="1"/>
  </cols>
  <sheetData>
    <row r="1" spans="1:1" ht="23.5" x14ac:dyDescent="0.35">
      <c r="A1" s="8" t="s">
        <v>155</v>
      </c>
    </row>
    <row r="2" spans="1:1" x14ac:dyDescent="0.35">
      <c r="A2" s="9" t="s">
        <v>186</v>
      </c>
    </row>
    <row r="3" spans="1:1" x14ac:dyDescent="0.35">
      <c r="A3" s="9" t="s">
        <v>156</v>
      </c>
    </row>
    <row r="4" spans="1:1" x14ac:dyDescent="0.35">
      <c r="A4" s="9" t="s">
        <v>157</v>
      </c>
    </row>
    <row r="5" spans="1:1" x14ac:dyDescent="0.35">
      <c r="A5" s="9" t="s">
        <v>158</v>
      </c>
    </row>
    <row r="6" spans="1:1" x14ac:dyDescent="0.35">
      <c r="A6" s="9" t="s">
        <v>159</v>
      </c>
    </row>
    <row r="7" spans="1:1" x14ac:dyDescent="0.35">
      <c r="A7" s="9" t="s">
        <v>160</v>
      </c>
    </row>
    <row r="8" spans="1:1" x14ac:dyDescent="0.35">
      <c r="A8" s="9" t="s">
        <v>161</v>
      </c>
    </row>
    <row r="9" spans="1:1" x14ac:dyDescent="0.35">
      <c r="A9" s="9" t="s">
        <v>162</v>
      </c>
    </row>
    <row r="10" spans="1:1" x14ac:dyDescent="0.35">
      <c r="A10" s="9" t="s">
        <v>163</v>
      </c>
    </row>
    <row r="11" spans="1:1" x14ac:dyDescent="0.35">
      <c r="A11" s="9" t="s">
        <v>164</v>
      </c>
    </row>
    <row r="12" spans="1:1" x14ac:dyDescent="0.35">
      <c r="A12" s="9" t="s">
        <v>165</v>
      </c>
    </row>
    <row r="13" spans="1:1" x14ac:dyDescent="0.35">
      <c r="A13" s="9" t="s">
        <v>166</v>
      </c>
    </row>
    <row r="14" spans="1:1" x14ac:dyDescent="0.35">
      <c r="A14" s="9" t="s">
        <v>167</v>
      </c>
    </row>
    <row r="15" spans="1:1" x14ac:dyDescent="0.35">
      <c r="A15" s="9" t="s">
        <v>168</v>
      </c>
    </row>
    <row r="16" spans="1:1" x14ac:dyDescent="0.35">
      <c r="A16" s="9" t="s">
        <v>169</v>
      </c>
    </row>
    <row r="17" spans="1:1" x14ac:dyDescent="0.35">
      <c r="A17" s="9" t="s">
        <v>170</v>
      </c>
    </row>
    <row r="18" spans="1:1" x14ac:dyDescent="0.35">
      <c r="A18" s="9" t="s">
        <v>171</v>
      </c>
    </row>
    <row r="19" spans="1:1" x14ac:dyDescent="0.35">
      <c r="A19" s="9" t="s">
        <v>172</v>
      </c>
    </row>
    <row r="20" spans="1:1" x14ac:dyDescent="0.35">
      <c r="A20" s="9" t="s">
        <v>173</v>
      </c>
    </row>
    <row r="21" spans="1:1" x14ac:dyDescent="0.35">
      <c r="A21" s="9" t="s">
        <v>174</v>
      </c>
    </row>
    <row r="22" spans="1:1" x14ac:dyDescent="0.35">
      <c r="A22" s="9" t="s">
        <v>175</v>
      </c>
    </row>
    <row r="23" spans="1:1" x14ac:dyDescent="0.35">
      <c r="A23" s="9" t="s">
        <v>176</v>
      </c>
    </row>
    <row r="24" spans="1:1" x14ac:dyDescent="0.35">
      <c r="A24" s="9" t="s">
        <v>177</v>
      </c>
    </row>
    <row r="25" spans="1:1" x14ac:dyDescent="0.35">
      <c r="A25" s="9" t="s">
        <v>178</v>
      </c>
    </row>
    <row r="26" spans="1:1" x14ac:dyDescent="0.35">
      <c r="A26" s="9" t="s">
        <v>179</v>
      </c>
    </row>
    <row r="27" spans="1:1" x14ac:dyDescent="0.35">
      <c r="A27" s="9" t="s">
        <v>180</v>
      </c>
    </row>
    <row r="28" spans="1:1" x14ac:dyDescent="0.35">
      <c r="A28" s="9" t="s">
        <v>181</v>
      </c>
    </row>
    <row r="29" spans="1:1" x14ac:dyDescent="0.35">
      <c r="A29" s="9" t="s">
        <v>182</v>
      </c>
    </row>
    <row r="30" spans="1:1" x14ac:dyDescent="0.35">
      <c r="A30" s="9" t="s">
        <v>183</v>
      </c>
    </row>
    <row r="31" spans="1:1" x14ac:dyDescent="0.35">
      <c r="A31" s="9" t="s">
        <v>184</v>
      </c>
    </row>
    <row r="32" spans="1:1" x14ac:dyDescent="0.35">
      <c r="A32" s="9" t="s">
        <v>185</v>
      </c>
    </row>
    <row r="33" spans="1:1" x14ac:dyDescent="0.35">
      <c r="A33" s="9"/>
    </row>
    <row r="34" spans="1:1" x14ac:dyDescent="0.35">
      <c r="A34" s="9"/>
    </row>
    <row r="35" spans="1:1" x14ac:dyDescent="0.35">
      <c r="A35" s="9"/>
    </row>
    <row r="36" spans="1:1" x14ac:dyDescent="0.35">
      <c r="A36" s="9"/>
    </row>
    <row r="37" spans="1:1" x14ac:dyDescent="0.35">
      <c r="A37" s="9"/>
    </row>
    <row r="38" spans="1:1" x14ac:dyDescent="0.35">
      <c r="A38" s="9"/>
    </row>
    <row r="39" spans="1:1" x14ac:dyDescent="0.35">
      <c r="A39" s="9"/>
    </row>
    <row r="40" spans="1:1" x14ac:dyDescent="0.35">
      <c r="A40" s="9"/>
    </row>
    <row r="41" spans="1:1" x14ac:dyDescent="0.35">
      <c r="A41" s="9"/>
    </row>
    <row r="42" spans="1:1" x14ac:dyDescent="0.35">
      <c r="A42" s="9"/>
    </row>
    <row r="43" spans="1:1" x14ac:dyDescent="0.35">
      <c r="A43" s="9"/>
    </row>
    <row r="44" spans="1:1" x14ac:dyDescent="0.35">
      <c r="A44" s="9"/>
    </row>
    <row r="45" spans="1:1" x14ac:dyDescent="0.35">
      <c r="A45" s="9"/>
    </row>
    <row r="46" spans="1:1" x14ac:dyDescent="0.35">
      <c r="A46" s="9"/>
    </row>
    <row r="47" spans="1:1" x14ac:dyDescent="0.35">
      <c r="A47" s="9"/>
    </row>
    <row r="48" spans="1:1" x14ac:dyDescent="0.35">
      <c r="A48" s="9"/>
    </row>
    <row r="49" spans="1:1" x14ac:dyDescent="0.35">
      <c r="A49" s="9"/>
    </row>
    <row r="50" spans="1:1" x14ac:dyDescent="0.35">
      <c r="A50" s="9"/>
    </row>
    <row r="51" spans="1:1" x14ac:dyDescent="0.35">
      <c r="A51" s="9"/>
    </row>
    <row r="52" spans="1:1" x14ac:dyDescent="0.35">
      <c r="A52" s="9"/>
    </row>
    <row r="53" spans="1:1" x14ac:dyDescent="0.35">
      <c r="A53" s="9"/>
    </row>
    <row r="54" spans="1:1" x14ac:dyDescent="0.35">
      <c r="A54" s="9"/>
    </row>
    <row r="55" spans="1:1" x14ac:dyDescent="0.35">
      <c r="A55" s="9"/>
    </row>
    <row r="56" spans="1:1" x14ac:dyDescent="0.35">
      <c r="A56" s="9"/>
    </row>
    <row r="57" spans="1:1" x14ac:dyDescent="0.35">
      <c r="A57" s="9"/>
    </row>
    <row r="58" spans="1:1" x14ac:dyDescent="0.35">
      <c r="A58" s="9"/>
    </row>
    <row r="59" spans="1:1" x14ac:dyDescent="0.35">
      <c r="A59" s="9"/>
    </row>
    <row r="60" spans="1:1" x14ac:dyDescent="0.35">
      <c r="A60" s="9"/>
    </row>
    <row r="61" spans="1:1" x14ac:dyDescent="0.35">
      <c r="A61" s="9"/>
    </row>
    <row r="62" spans="1:1" x14ac:dyDescent="0.35">
      <c r="A62" s="9"/>
    </row>
    <row r="63" spans="1:1" x14ac:dyDescent="0.35">
      <c r="A63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3CA5-2BB8-41D4-9CF2-0CB846B8F682}">
  <dimension ref="A1:S61"/>
  <sheetViews>
    <sheetView tabSelected="1" topLeftCell="E1" zoomScale="64" zoomScaleNormal="64" workbookViewId="0">
      <selection activeCell="S2" sqref="S2:S31"/>
    </sheetView>
  </sheetViews>
  <sheetFormatPr defaultRowHeight="14.5" x14ac:dyDescent="0.35"/>
  <cols>
    <col min="1" max="1" width="10.453125" customWidth="1"/>
    <col min="2" max="2" width="17" customWidth="1"/>
    <col min="3" max="3" width="9" customWidth="1"/>
    <col min="5" max="5" width="10.453125" customWidth="1"/>
    <col min="6" max="6" width="9.54296875" customWidth="1"/>
    <col min="7" max="7" width="15" customWidth="1"/>
    <col min="8" max="8" width="15.26953125" customWidth="1"/>
    <col min="9" max="9" width="11.54296875" customWidth="1"/>
    <col min="10" max="10" width="15.1796875" customWidth="1"/>
    <col min="11" max="11" width="14.90625" customWidth="1"/>
    <col min="12" max="12" width="19.453125" customWidth="1"/>
    <col min="13" max="13" width="16.453125" customWidth="1"/>
    <col min="14" max="14" width="13.90625" customWidth="1"/>
    <col min="15" max="15" width="18.7265625" customWidth="1"/>
    <col min="16" max="16" width="27.1796875" customWidth="1"/>
    <col min="17" max="17" width="19.36328125" customWidth="1"/>
    <col min="18" max="18" width="17.81640625" customWidth="1"/>
    <col min="19" max="19" width="18.36328125" customWidth="1"/>
  </cols>
  <sheetData>
    <row r="1" spans="1:19" ht="29" x14ac:dyDescent="0.35">
      <c r="A1" s="6" t="s">
        <v>76</v>
      </c>
      <c r="B1" s="6" t="s">
        <v>32</v>
      </c>
      <c r="C1" s="6" t="s">
        <v>27</v>
      </c>
      <c r="D1" s="6" t="s">
        <v>33</v>
      </c>
      <c r="E1" s="6" t="s">
        <v>77</v>
      </c>
      <c r="F1" s="6" t="s">
        <v>78</v>
      </c>
      <c r="G1" s="6" t="s">
        <v>79</v>
      </c>
      <c r="H1" s="5" t="s">
        <v>80</v>
      </c>
      <c r="I1" s="5" t="s">
        <v>81</v>
      </c>
      <c r="J1" s="5" t="s">
        <v>82</v>
      </c>
      <c r="K1" s="5" t="s">
        <v>83</v>
      </c>
      <c r="L1" s="6" t="s">
        <v>34</v>
      </c>
      <c r="M1" s="6" t="s">
        <v>84</v>
      </c>
      <c r="N1" s="6" t="s">
        <v>85</v>
      </c>
      <c r="O1" s="6" t="s">
        <v>193</v>
      </c>
      <c r="P1" s="6" t="s">
        <v>194</v>
      </c>
      <c r="Q1" s="6" t="s">
        <v>195</v>
      </c>
      <c r="R1" s="6" t="s">
        <v>196</v>
      </c>
      <c r="S1" s="6" t="s">
        <v>198</v>
      </c>
    </row>
    <row r="2" spans="1:19" ht="29" x14ac:dyDescent="0.35">
      <c r="A2" s="7" t="s">
        <v>86</v>
      </c>
      <c r="B2" s="7" t="s">
        <v>35</v>
      </c>
      <c r="C2" s="7" t="s">
        <v>29</v>
      </c>
      <c r="D2" s="7" t="s">
        <v>36</v>
      </c>
      <c r="E2" s="7" t="s">
        <v>87</v>
      </c>
      <c r="F2" s="7" t="s">
        <v>88</v>
      </c>
      <c r="G2" s="7" t="s">
        <v>38</v>
      </c>
      <c r="H2" s="4">
        <v>2</v>
      </c>
      <c r="I2" s="4">
        <v>2500</v>
      </c>
      <c r="J2" s="4">
        <v>200</v>
      </c>
      <c r="K2" s="4">
        <v>100</v>
      </c>
      <c r="L2" s="7" t="s">
        <v>37</v>
      </c>
      <c r="M2" s="7" t="s">
        <v>89</v>
      </c>
      <c r="N2" s="7" t="s">
        <v>90</v>
      </c>
      <c r="O2" s="7">
        <f>PRODUCT(Table5[[#This Row],[Quantity]],Table5[[#This Row],[Unit_Price]])</f>
        <v>5000</v>
      </c>
      <c r="P2" s="7" t="str">
        <f>IF(AND(Table5[[#This Row],[Quantity]]&gt;=3,Table5[[#This Row],[Unit_Price]]&gt;=3000),"HIGH VALUE ORDER","REGULAR ORDER")</f>
        <v>REGULAR ORDER</v>
      </c>
      <c r="Q2" s="7" t="str" cm="1">
        <f t="array" ref="Q2">_xlfn.IFS(Table5[[#This Row],[6,ORDER VALUE]]&lt;=5000,"low",Table5[[#This Row],[6,ORDER VALUE]]&lt;=15000,"medium",Table5[[#This Row],[6,ORDER VALUE]]&gt;=15000,"high")</f>
        <v>low</v>
      </c>
      <c r="R2" s="7" t="str">
        <f>IF(Table5[[#This Row],[6,ORDER VALUE]]&gt;=15000,"prority","standerd")</f>
        <v>standerd</v>
      </c>
      <c r="S2" s="7" t="str" cm="1">
        <f t="array" ref="S2">_xlfn.IFS(Table5[[#This Row],[6,ORDER VALUE]]&lt;=5000,"basic",Table5[[#This Row],[6,ORDER VALUE]]&lt;=15000,"standerd",Table5[[#This Row],[6,ORDER VALUE]]&gt;=15000,"premium")</f>
        <v>basic</v>
      </c>
    </row>
    <row r="3" spans="1:19" ht="29" x14ac:dyDescent="0.35">
      <c r="A3" s="7" t="s">
        <v>91</v>
      </c>
      <c r="B3" s="7" t="s">
        <v>39</v>
      </c>
      <c r="C3" s="7" t="s">
        <v>28</v>
      </c>
      <c r="D3" s="7" t="s">
        <v>40</v>
      </c>
      <c r="E3" s="7" t="s">
        <v>92</v>
      </c>
      <c r="F3" s="7" t="s">
        <v>93</v>
      </c>
      <c r="G3" s="7" t="s">
        <v>94</v>
      </c>
      <c r="H3" s="4">
        <v>1</v>
      </c>
      <c r="I3" s="4">
        <v>8500</v>
      </c>
      <c r="J3" s="4">
        <v>500</v>
      </c>
      <c r="K3" s="4">
        <v>350</v>
      </c>
      <c r="L3" s="7" t="s">
        <v>95</v>
      </c>
      <c r="M3" s="7" t="s">
        <v>96</v>
      </c>
      <c r="N3" s="7" t="s">
        <v>90</v>
      </c>
      <c r="O3" s="7">
        <f>PRODUCT(Table5[[#This Row],[Quantity]],Table5[[#This Row],[Unit_Price]])</f>
        <v>8500</v>
      </c>
      <c r="P3" s="7" t="str">
        <f>IF(AND(Table5[[#This Row],[Quantity]]&gt;=3,Table5[[#This Row],[Unit_Price]]&gt;=3000),"HIGH VALUE ORDER","REGULAR ORDER")</f>
        <v>REGULAR ORDER</v>
      </c>
      <c r="Q3" s="7" t="str" cm="1">
        <f t="array" ref="Q3">_xlfn.IFS(Table5[[#This Row],[6,ORDER VALUE]]&lt;=5000,"low",Table5[[#This Row],[6,ORDER VALUE]]&lt;=15000,"medium",Table5[[#This Row],[6,ORDER VALUE]]&gt;=15000,"high")</f>
        <v>medium</v>
      </c>
      <c r="R3" s="7" t="str">
        <f>IF(Table5[[#This Row],[6,ORDER VALUE]]&gt;=15000,"prority","standerd")</f>
        <v>standerd</v>
      </c>
      <c r="S3" s="7" t="str" cm="1">
        <f t="array" ref="S3">_xlfn.IFS(Table5[[#This Row],[6,ORDER VALUE]]&lt;=5000,"basic",Table5[[#This Row],[6,ORDER VALUE]]&lt;=15000,"standerd",Table5[[#This Row],[6,ORDER VALUE]]&gt;=15000,"premium")</f>
        <v>standerd</v>
      </c>
    </row>
    <row r="4" spans="1:19" ht="29" x14ac:dyDescent="0.35">
      <c r="A4" s="7" t="s">
        <v>97</v>
      </c>
      <c r="B4" s="7" t="s">
        <v>41</v>
      </c>
      <c r="C4" s="7" t="s">
        <v>29</v>
      </c>
      <c r="D4" s="7" t="s">
        <v>42</v>
      </c>
      <c r="E4" s="7" t="s">
        <v>98</v>
      </c>
      <c r="F4" s="7" t="s">
        <v>99</v>
      </c>
      <c r="G4" s="7" t="s">
        <v>44</v>
      </c>
      <c r="H4" s="4">
        <v>3</v>
      </c>
      <c r="I4" s="4">
        <v>1800</v>
      </c>
      <c r="J4" s="4">
        <v>150</v>
      </c>
      <c r="K4" s="4">
        <v>120</v>
      </c>
      <c r="L4" s="7" t="s">
        <v>37</v>
      </c>
      <c r="M4" s="7" t="s">
        <v>89</v>
      </c>
      <c r="N4" s="7" t="s">
        <v>90</v>
      </c>
      <c r="O4" s="7">
        <f>PRODUCT(Table5[[#This Row],[Quantity]],Table5[[#This Row],[Unit_Price]])</f>
        <v>5400</v>
      </c>
      <c r="P4" s="7" t="str">
        <f>IF(AND(Table5[[#This Row],[Quantity]]&gt;=3,Table5[[#This Row],[Unit_Price]]&gt;=3000),"HIGH VALUE ORDER","REGULAR ORDER")</f>
        <v>REGULAR ORDER</v>
      </c>
      <c r="Q4" s="7" t="str" cm="1">
        <f t="array" ref="Q4">_xlfn.IFS(Table5[[#This Row],[6,ORDER VALUE]]&lt;=5000,"low",Table5[[#This Row],[6,ORDER VALUE]]&lt;=15000,"medium",Table5[[#This Row],[6,ORDER VALUE]]&gt;=15000,"high")</f>
        <v>medium</v>
      </c>
      <c r="R4" s="7" t="str">
        <f>IF(Table5[[#This Row],[6,ORDER VALUE]]&gt;=15000,"prority","standerd")</f>
        <v>standerd</v>
      </c>
      <c r="S4" s="7" t="str" cm="1">
        <f t="array" ref="S4">_xlfn.IFS(Table5[[#This Row],[6,ORDER VALUE]]&lt;=5000,"basic",Table5[[#This Row],[6,ORDER VALUE]]&lt;=15000,"standerd",Table5[[#This Row],[6,ORDER VALUE]]&gt;=15000,"premium")</f>
        <v>standerd</v>
      </c>
    </row>
    <row r="5" spans="1:19" x14ac:dyDescent="0.35">
      <c r="A5" s="7" t="s">
        <v>100</v>
      </c>
      <c r="B5" s="7" t="s">
        <v>43</v>
      </c>
      <c r="C5" s="7" t="s">
        <v>28</v>
      </c>
      <c r="D5" s="7" t="s">
        <v>36</v>
      </c>
      <c r="E5" s="7" t="s">
        <v>87</v>
      </c>
      <c r="F5" s="7" t="s">
        <v>101</v>
      </c>
      <c r="G5" s="7" t="s">
        <v>38</v>
      </c>
      <c r="H5" s="4">
        <v>2</v>
      </c>
      <c r="I5" s="4">
        <v>2200</v>
      </c>
      <c r="J5" s="4">
        <v>100</v>
      </c>
      <c r="K5" s="4">
        <v>90</v>
      </c>
      <c r="L5" s="7" t="s">
        <v>37</v>
      </c>
      <c r="M5" s="7" t="s">
        <v>102</v>
      </c>
      <c r="N5" s="7" t="s">
        <v>90</v>
      </c>
      <c r="O5" s="7">
        <f>PRODUCT(Table5[[#This Row],[Quantity]],Table5[[#This Row],[Unit_Price]])</f>
        <v>4400</v>
      </c>
      <c r="P5" s="7" t="str">
        <f>IF(AND(Table5[[#This Row],[Quantity]]&gt;=3,Table5[[#This Row],[Unit_Price]]&gt;=3000),"HIGH VALUE ORDER","REGULAR ORDER")</f>
        <v>REGULAR ORDER</v>
      </c>
      <c r="Q5" s="7" t="str" cm="1">
        <f t="array" ref="Q5">_xlfn.IFS(Table5[[#This Row],[6,ORDER VALUE]]&lt;=5000,"low",Table5[[#This Row],[6,ORDER VALUE]]&lt;=15000,"medium",Table5[[#This Row],[6,ORDER VALUE]]&gt;=15000,"high")</f>
        <v>low</v>
      </c>
      <c r="R5" s="7" t="str">
        <f>IF(Table5[[#This Row],[6,ORDER VALUE]]&gt;=15000,"prority","standerd")</f>
        <v>standerd</v>
      </c>
      <c r="S5" s="7" t="str" cm="1">
        <f t="array" ref="S5">_xlfn.IFS(Table5[[#This Row],[6,ORDER VALUE]]&lt;=5000,"basic",Table5[[#This Row],[6,ORDER VALUE]]&lt;=15000,"standerd",Table5[[#This Row],[6,ORDER VALUE]]&gt;=15000,"premium")</f>
        <v>basic</v>
      </c>
    </row>
    <row r="6" spans="1:19" ht="29" x14ac:dyDescent="0.35">
      <c r="A6" s="7" t="s">
        <v>103</v>
      </c>
      <c r="B6" s="7" t="s">
        <v>45</v>
      </c>
      <c r="C6" s="7" t="s">
        <v>29</v>
      </c>
      <c r="D6" s="7" t="s">
        <v>46</v>
      </c>
      <c r="E6" s="7" t="s">
        <v>104</v>
      </c>
      <c r="F6" s="7" t="s">
        <v>105</v>
      </c>
      <c r="G6" s="7" t="s">
        <v>94</v>
      </c>
      <c r="H6" s="4">
        <v>4</v>
      </c>
      <c r="I6" s="4">
        <v>1200</v>
      </c>
      <c r="J6" s="4">
        <v>100</v>
      </c>
      <c r="K6" s="4">
        <v>80</v>
      </c>
      <c r="L6" s="7" t="s">
        <v>37</v>
      </c>
      <c r="M6" s="7" t="s">
        <v>96</v>
      </c>
      <c r="N6" s="7" t="s">
        <v>90</v>
      </c>
      <c r="O6" s="7">
        <f>PRODUCT(Table5[[#This Row],[Quantity]],Table5[[#This Row],[Unit_Price]])</f>
        <v>4800</v>
      </c>
      <c r="P6" s="7" t="str">
        <f>IF(AND(Table5[[#This Row],[Quantity]]&gt;=3,Table5[[#This Row],[Unit_Price]]&gt;=3000),"HIGH VALUE ORDER","REGULAR ORDER")</f>
        <v>REGULAR ORDER</v>
      </c>
      <c r="Q6" s="7" t="str" cm="1">
        <f t="array" ref="Q6">_xlfn.IFS(Table5[[#This Row],[6,ORDER VALUE]]&lt;=5000,"low",Table5[[#This Row],[6,ORDER VALUE]]&lt;=15000,"medium",Table5[[#This Row],[6,ORDER VALUE]]&gt;=15000,"high")</f>
        <v>low</v>
      </c>
      <c r="R6" s="7" t="str">
        <f>IF(Table5[[#This Row],[6,ORDER VALUE]]&gt;=15000,"prority","standerd")</f>
        <v>standerd</v>
      </c>
      <c r="S6" s="7" t="str" cm="1">
        <f t="array" ref="S6">_xlfn.IFS(Table5[[#This Row],[6,ORDER VALUE]]&lt;=5000,"basic",Table5[[#This Row],[6,ORDER VALUE]]&lt;=15000,"standerd",Table5[[#This Row],[6,ORDER VALUE]]&gt;=15000,"premium")</f>
        <v>basic</v>
      </c>
    </row>
    <row r="7" spans="1:19" x14ac:dyDescent="0.35">
      <c r="A7" s="7" t="s">
        <v>106</v>
      </c>
      <c r="B7" s="7" t="s">
        <v>47</v>
      </c>
      <c r="C7" s="7" t="s">
        <v>28</v>
      </c>
      <c r="D7" s="7" t="s">
        <v>48</v>
      </c>
      <c r="E7" s="7" t="s">
        <v>87</v>
      </c>
      <c r="F7" s="7" t="s">
        <v>107</v>
      </c>
      <c r="G7" s="7" t="s">
        <v>38</v>
      </c>
      <c r="H7" s="4">
        <v>2</v>
      </c>
      <c r="I7" s="4">
        <v>14500</v>
      </c>
      <c r="J7" s="4">
        <v>1000</v>
      </c>
      <c r="K7" s="4">
        <v>450</v>
      </c>
      <c r="L7" s="7" t="s">
        <v>95</v>
      </c>
      <c r="M7" s="7" t="s">
        <v>96</v>
      </c>
      <c r="N7" s="7" t="s">
        <v>90</v>
      </c>
      <c r="O7" s="7">
        <f>PRODUCT(Table5[[#This Row],[Quantity]],Table5[[#This Row],[Unit_Price]])</f>
        <v>29000</v>
      </c>
      <c r="P7" s="7" t="str">
        <f>IF(AND(Table5[[#This Row],[Quantity]]&gt;=3,Table5[[#This Row],[Unit_Price]]&gt;=3000),"HIGH VALUE ORDER","REGULAR ORDER")</f>
        <v>REGULAR ORDER</v>
      </c>
      <c r="Q7" s="7" t="str" cm="1">
        <f t="array" ref="Q7">_xlfn.IFS(Table5[[#This Row],[6,ORDER VALUE]]&lt;=5000,"low",Table5[[#This Row],[6,ORDER VALUE]]&lt;=15000,"medium",Table5[[#This Row],[6,ORDER VALUE]]&gt;=15000,"high")</f>
        <v>high</v>
      </c>
      <c r="R7" s="7" t="str">
        <f>IF(Table5[[#This Row],[6,ORDER VALUE]]&gt;=15000,"prority","standerd")</f>
        <v>prority</v>
      </c>
      <c r="S7" s="7" t="str" cm="1">
        <f t="array" ref="S7">_xlfn.IFS(Table5[[#This Row],[6,ORDER VALUE]]&lt;=5000,"basic",Table5[[#This Row],[6,ORDER VALUE]]&lt;=15000,"standerd",Table5[[#This Row],[6,ORDER VALUE]]&gt;=15000,"premium")</f>
        <v>premium</v>
      </c>
    </row>
    <row r="8" spans="1:19" ht="29" x14ac:dyDescent="0.35">
      <c r="A8" s="7" t="s">
        <v>108</v>
      </c>
      <c r="B8" s="7" t="s">
        <v>49</v>
      </c>
      <c r="C8" s="7" t="s">
        <v>29</v>
      </c>
      <c r="D8" s="7" t="s">
        <v>36</v>
      </c>
      <c r="E8" s="7" t="s">
        <v>92</v>
      </c>
      <c r="F8" s="7" t="s">
        <v>109</v>
      </c>
      <c r="G8" s="7" t="s">
        <v>44</v>
      </c>
      <c r="H8" s="4">
        <v>1</v>
      </c>
      <c r="I8" s="4">
        <v>9500</v>
      </c>
      <c r="J8" s="4">
        <v>700</v>
      </c>
      <c r="K8" s="4">
        <v>400</v>
      </c>
      <c r="L8" s="7" t="s">
        <v>37</v>
      </c>
      <c r="M8" s="7" t="s">
        <v>89</v>
      </c>
      <c r="N8" s="7" t="s">
        <v>90</v>
      </c>
      <c r="O8" s="7">
        <f>PRODUCT(Table5[[#This Row],[Quantity]],Table5[[#This Row],[Unit_Price]])</f>
        <v>9500</v>
      </c>
      <c r="P8" s="7" t="str">
        <f>IF(AND(Table5[[#This Row],[Quantity]]&gt;=3,Table5[[#This Row],[Unit_Price]]&gt;=3000),"HIGH VALUE ORDER","REGULAR ORDER")</f>
        <v>REGULAR ORDER</v>
      </c>
      <c r="Q8" s="7" t="str" cm="1">
        <f t="array" ref="Q8">_xlfn.IFS(Table5[[#This Row],[6,ORDER VALUE]]&lt;=5000,"low",Table5[[#This Row],[6,ORDER VALUE]]&lt;=15000,"medium",Table5[[#This Row],[6,ORDER VALUE]]&gt;=15000,"high")</f>
        <v>medium</v>
      </c>
      <c r="R8" s="7" t="str">
        <f>IF(Table5[[#This Row],[6,ORDER VALUE]]&gt;=15000,"prority","standerd")</f>
        <v>standerd</v>
      </c>
      <c r="S8" s="7" t="str" cm="1">
        <f t="array" ref="S8">_xlfn.IFS(Table5[[#This Row],[6,ORDER VALUE]]&lt;=5000,"basic",Table5[[#This Row],[6,ORDER VALUE]]&lt;=15000,"standerd",Table5[[#This Row],[6,ORDER VALUE]]&gt;=15000,"premium")</f>
        <v>standerd</v>
      </c>
    </row>
    <row r="9" spans="1:19" ht="29" x14ac:dyDescent="0.35">
      <c r="A9" s="7" t="s">
        <v>110</v>
      </c>
      <c r="B9" s="7" t="s">
        <v>50</v>
      </c>
      <c r="C9" s="7" t="s">
        <v>28</v>
      </c>
      <c r="D9" s="7" t="s">
        <v>51</v>
      </c>
      <c r="E9" s="7" t="s">
        <v>98</v>
      </c>
      <c r="F9" s="7" t="s">
        <v>111</v>
      </c>
      <c r="G9" s="7" t="s">
        <v>38</v>
      </c>
      <c r="H9" s="4">
        <v>2</v>
      </c>
      <c r="I9" s="4">
        <v>2400</v>
      </c>
      <c r="J9" s="4">
        <v>200</v>
      </c>
      <c r="K9" s="4">
        <v>130</v>
      </c>
      <c r="L9" s="7" t="s">
        <v>37</v>
      </c>
      <c r="M9" s="7" t="s">
        <v>89</v>
      </c>
      <c r="N9" s="7" t="s">
        <v>90</v>
      </c>
      <c r="O9" s="7">
        <f>PRODUCT(Table5[[#This Row],[Quantity]],Table5[[#This Row],[Unit_Price]])</f>
        <v>4800</v>
      </c>
      <c r="P9" s="7" t="str">
        <f>IF(AND(Table5[[#This Row],[Quantity]]&gt;=3,Table5[[#This Row],[Unit_Price]]&gt;=3000),"HIGH VALUE ORDER","REGULAR ORDER")</f>
        <v>REGULAR ORDER</v>
      </c>
      <c r="Q9" s="7" t="str" cm="1">
        <f t="array" ref="Q9">_xlfn.IFS(Table5[[#This Row],[6,ORDER VALUE]]&lt;=5000,"low",Table5[[#This Row],[6,ORDER VALUE]]&lt;=15000,"medium",Table5[[#This Row],[6,ORDER VALUE]]&gt;=15000,"high")</f>
        <v>low</v>
      </c>
      <c r="R9" s="7" t="str">
        <f>IF(Table5[[#This Row],[6,ORDER VALUE]]&gt;=15000,"prority","standerd")</f>
        <v>standerd</v>
      </c>
      <c r="S9" s="7" t="str" cm="1">
        <f t="array" ref="S9">_xlfn.IFS(Table5[[#This Row],[6,ORDER VALUE]]&lt;=5000,"basic",Table5[[#This Row],[6,ORDER VALUE]]&lt;=15000,"standerd",Table5[[#This Row],[6,ORDER VALUE]]&gt;=15000,"premium")</f>
        <v>basic</v>
      </c>
    </row>
    <row r="10" spans="1:19" x14ac:dyDescent="0.35">
      <c r="A10" s="7" t="s">
        <v>112</v>
      </c>
      <c r="B10" s="7" t="s">
        <v>52</v>
      </c>
      <c r="C10" s="7" t="s">
        <v>29</v>
      </c>
      <c r="D10" s="7" t="s">
        <v>36</v>
      </c>
      <c r="E10" s="7" t="s">
        <v>104</v>
      </c>
      <c r="F10" s="7" t="s">
        <v>113</v>
      </c>
      <c r="G10" s="7" t="s">
        <v>94</v>
      </c>
      <c r="H10" s="4">
        <v>3</v>
      </c>
      <c r="I10" s="4">
        <v>3200</v>
      </c>
      <c r="J10" s="4">
        <v>300</v>
      </c>
      <c r="K10" s="4">
        <v>100</v>
      </c>
      <c r="L10" s="7" t="s">
        <v>37</v>
      </c>
      <c r="M10" s="7" t="s">
        <v>96</v>
      </c>
      <c r="N10" s="7" t="s">
        <v>90</v>
      </c>
      <c r="O10" s="7">
        <f>PRODUCT(Table5[[#This Row],[Quantity]],Table5[[#This Row],[Unit_Price]])</f>
        <v>9600</v>
      </c>
      <c r="P10" s="7" t="str">
        <f>IF(AND(Table5[[#This Row],[Quantity]]&gt;=3,Table5[[#This Row],[Unit_Price]]&gt;=3000),"HIGH VALUE ORDER","REGULAR ORDER")</f>
        <v>HIGH VALUE ORDER</v>
      </c>
      <c r="Q10" s="7" t="str" cm="1">
        <f t="array" ref="Q10">_xlfn.IFS(Table5[[#This Row],[6,ORDER VALUE]]&lt;=5000,"low",Table5[[#This Row],[6,ORDER VALUE]]&lt;=15000,"medium",Table5[[#This Row],[6,ORDER VALUE]]&gt;=15000,"high")</f>
        <v>medium</v>
      </c>
      <c r="R10" s="7" t="str">
        <f>IF(Table5[[#This Row],[6,ORDER VALUE]]&gt;=15000,"prority","standerd")</f>
        <v>standerd</v>
      </c>
      <c r="S10" s="7" t="str" cm="1">
        <f t="array" ref="S10">_xlfn.IFS(Table5[[#This Row],[6,ORDER VALUE]]&lt;=5000,"basic",Table5[[#This Row],[6,ORDER VALUE]]&lt;=15000,"standerd",Table5[[#This Row],[6,ORDER VALUE]]&gt;=15000,"premium")</f>
        <v>standerd</v>
      </c>
    </row>
    <row r="11" spans="1:19" ht="29" x14ac:dyDescent="0.35">
      <c r="A11" s="7" t="s">
        <v>114</v>
      </c>
      <c r="B11" s="7" t="s">
        <v>53</v>
      </c>
      <c r="C11" s="7" t="s">
        <v>28</v>
      </c>
      <c r="D11" s="7" t="s">
        <v>40</v>
      </c>
      <c r="E11" s="7" t="s">
        <v>87</v>
      </c>
      <c r="F11" s="7" t="s">
        <v>115</v>
      </c>
      <c r="G11" s="7" t="s">
        <v>38</v>
      </c>
      <c r="H11" s="4">
        <v>2</v>
      </c>
      <c r="I11" s="4">
        <v>6500</v>
      </c>
      <c r="J11" s="4">
        <v>400</v>
      </c>
      <c r="K11" s="4">
        <v>150</v>
      </c>
      <c r="L11" s="7" t="s">
        <v>95</v>
      </c>
      <c r="M11" s="7" t="s">
        <v>89</v>
      </c>
      <c r="N11" s="7" t="s">
        <v>90</v>
      </c>
      <c r="O11" s="7">
        <f>PRODUCT(Table5[[#This Row],[Quantity]],Table5[[#This Row],[Unit_Price]])</f>
        <v>13000</v>
      </c>
      <c r="P11" s="7" t="str">
        <f>IF(AND(Table5[[#This Row],[Quantity]]&gt;=3,Table5[[#This Row],[Unit_Price]]&gt;=3000),"HIGH VALUE ORDER","REGULAR ORDER")</f>
        <v>REGULAR ORDER</v>
      </c>
      <c r="Q11" s="7" t="str" cm="1">
        <f t="array" ref="Q11">_xlfn.IFS(Table5[[#This Row],[6,ORDER VALUE]]&lt;=5000,"low",Table5[[#This Row],[6,ORDER VALUE]]&lt;=15000,"medium",Table5[[#This Row],[6,ORDER VALUE]]&gt;=15000,"high")</f>
        <v>medium</v>
      </c>
      <c r="R11" s="7" t="str">
        <f>IF(Table5[[#This Row],[6,ORDER VALUE]]&gt;=15000,"prority","standerd")</f>
        <v>standerd</v>
      </c>
      <c r="S11" s="7" t="str" cm="1">
        <f t="array" ref="S11">_xlfn.IFS(Table5[[#This Row],[6,ORDER VALUE]]&lt;=5000,"basic",Table5[[#This Row],[6,ORDER VALUE]]&lt;=15000,"standerd",Table5[[#This Row],[6,ORDER VALUE]]&gt;=15000,"premium")</f>
        <v>standerd</v>
      </c>
    </row>
    <row r="12" spans="1:19" ht="29" x14ac:dyDescent="0.35">
      <c r="A12" s="7" t="s">
        <v>116</v>
      </c>
      <c r="B12" s="7" t="s">
        <v>54</v>
      </c>
      <c r="C12" s="7" t="s">
        <v>29</v>
      </c>
      <c r="D12" s="7" t="s">
        <v>55</v>
      </c>
      <c r="E12" s="7" t="s">
        <v>98</v>
      </c>
      <c r="F12" s="7" t="s">
        <v>117</v>
      </c>
      <c r="G12" s="7" t="s">
        <v>44</v>
      </c>
      <c r="H12" s="4">
        <v>2</v>
      </c>
      <c r="I12" s="4">
        <v>4500</v>
      </c>
      <c r="J12" s="4">
        <v>250</v>
      </c>
      <c r="K12" s="4">
        <v>120</v>
      </c>
      <c r="L12" s="7" t="s">
        <v>37</v>
      </c>
      <c r="M12" s="7" t="s">
        <v>96</v>
      </c>
      <c r="N12" s="7" t="s">
        <v>90</v>
      </c>
      <c r="O12" s="7">
        <f>PRODUCT(Table5[[#This Row],[Quantity]],Table5[[#This Row],[Unit_Price]])</f>
        <v>9000</v>
      </c>
      <c r="P12" s="7" t="str">
        <f>IF(AND(Table5[[#This Row],[Quantity]]&gt;=3,Table5[[#This Row],[Unit_Price]]&gt;=3000),"HIGH VALUE ORDER","REGULAR ORDER")</f>
        <v>REGULAR ORDER</v>
      </c>
      <c r="Q12" s="7" t="str" cm="1">
        <f t="array" ref="Q12">_xlfn.IFS(Table5[[#This Row],[6,ORDER VALUE]]&lt;=5000,"low",Table5[[#This Row],[6,ORDER VALUE]]&lt;=15000,"medium",Table5[[#This Row],[6,ORDER VALUE]]&gt;=15000,"high")</f>
        <v>medium</v>
      </c>
      <c r="R12" s="7" t="str">
        <f>IF(Table5[[#This Row],[6,ORDER VALUE]]&gt;=15000,"prority","standerd")</f>
        <v>standerd</v>
      </c>
      <c r="S12" s="7" t="str" cm="1">
        <f t="array" ref="S12">_xlfn.IFS(Table5[[#This Row],[6,ORDER VALUE]]&lt;=5000,"basic",Table5[[#This Row],[6,ORDER VALUE]]&lt;=15000,"standerd",Table5[[#This Row],[6,ORDER VALUE]]&gt;=15000,"premium")</f>
        <v>standerd</v>
      </c>
    </row>
    <row r="13" spans="1:19" ht="29" x14ac:dyDescent="0.35">
      <c r="A13" s="7" t="s">
        <v>118</v>
      </c>
      <c r="B13" s="7" t="s">
        <v>56</v>
      </c>
      <c r="C13" s="7" t="s">
        <v>28</v>
      </c>
      <c r="D13" s="7" t="s">
        <v>42</v>
      </c>
      <c r="E13" s="7" t="s">
        <v>92</v>
      </c>
      <c r="F13" s="7" t="s">
        <v>119</v>
      </c>
      <c r="G13" s="7" t="s">
        <v>94</v>
      </c>
      <c r="H13" s="4">
        <v>1</v>
      </c>
      <c r="I13" s="4">
        <v>28000</v>
      </c>
      <c r="J13" s="4">
        <v>2000</v>
      </c>
      <c r="K13" s="4">
        <v>900</v>
      </c>
      <c r="L13" s="7" t="s">
        <v>95</v>
      </c>
      <c r="M13" s="7" t="s">
        <v>96</v>
      </c>
      <c r="N13" s="7" t="s">
        <v>90</v>
      </c>
      <c r="O13" s="7">
        <f>PRODUCT(Table5[[#This Row],[Quantity]],Table5[[#This Row],[Unit_Price]])</f>
        <v>28000</v>
      </c>
      <c r="P13" s="7" t="str">
        <f>IF(AND(Table5[[#This Row],[Quantity]]&gt;=3,Table5[[#This Row],[Unit_Price]]&gt;=3000),"HIGH VALUE ORDER","REGULAR ORDER")</f>
        <v>REGULAR ORDER</v>
      </c>
      <c r="Q13" s="7" t="str" cm="1">
        <f t="array" ref="Q13">_xlfn.IFS(Table5[[#This Row],[6,ORDER VALUE]]&lt;=5000,"low",Table5[[#This Row],[6,ORDER VALUE]]&lt;=15000,"medium",Table5[[#This Row],[6,ORDER VALUE]]&gt;=15000,"high")</f>
        <v>high</v>
      </c>
      <c r="R13" s="7" t="str">
        <f>IF(Table5[[#This Row],[6,ORDER VALUE]]&gt;=15000,"prority","standerd")</f>
        <v>prority</v>
      </c>
      <c r="S13" s="7" t="str" cm="1">
        <f t="array" ref="S13">_xlfn.IFS(Table5[[#This Row],[6,ORDER VALUE]]&lt;=5000,"basic",Table5[[#This Row],[6,ORDER VALUE]]&lt;=15000,"standerd",Table5[[#This Row],[6,ORDER VALUE]]&gt;=15000,"premium")</f>
        <v>premium</v>
      </c>
    </row>
    <row r="14" spans="1:19" x14ac:dyDescent="0.35">
      <c r="A14" s="7" t="s">
        <v>120</v>
      </c>
      <c r="B14" s="7" t="s">
        <v>57</v>
      </c>
      <c r="C14" s="7" t="s">
        <v>29</v>
      </c>
      <c r="D14" s="7" t="s">
        <v>36</v>
      </c>
      <c r="E14" s="7" t="s">
        <v>87</v>
      </c>
      <c r="F14" s="7" t="s">
        <v>121</v>
      </c>
      <c r="G14" s="7" t="s">
        <v>38</v>
      </c>
      <c r="H14" s="4">
        <v>4</v>
      </c>
      <c r="I14" s="4">
        <v>1200</v>
      </c>
      <c r="J14" s="4">
        <v>100</v>
      </c>
      <c r="K14" s="4">
        <v>80</v>
      </c>
      <c r="L14" s="7" t="s">
        <v>37</v>
      </c>
      <c r="M14" s="7" t="s">
        <v>89</v>
      </c>
      <c r="N14" s="7" t="s">
        <v>90</v>
      </c>
      <c r="O14" s="7">
        <f>PRODUCT(Table5[[#This Row],[Quantity]],Table5[[#This Row],[Unit_Price]])</f>
        <v>4800</v>
      </c>
      <c r="P14" s="7" t="str">
        <f>IF(AND(Table5[[#This Row],[Quantity]]&gt;=3,Table5[[#This Row],[Unit_Price]]&gt;=3000),"HIGH VALUE ORDER","REGULAR ORDER")</f>
        <v>REGULAR ORDER</v>
      </c>
      <c r="Q14" s="7" t="str" cm="1">
        <f t="array" ref="Q14">_xlfn.IFS(Table5[[#This Row],[6,ORDER VALUE]]&lt;=5000,"low",Table5[[#This Row],[6,ORDER VALUE]]&lt;=15000,"medium",Table5[[#This Row],[6,ORDER VALUE]]&gt;=15000,"high")</f>
        <v>low</v>
      </c>
      <c r="R14" s="7" t="str">
        <f>IF(Table5[[#This Row],[6,ORDER VALUE]]&gt;=15000,"prority","standerd")</f>
        <v>standerd</v>
      </c>
      <c r="S14" s="7" t="str" cm="1">
        <f t="array" ref="S14">_xlfn.IFS(Table5[[#This Row],[6,ORDER VALUE]]&lt;=5000,"basic",Table5[[#This Row],[6,ORDER VALUE]]&lt;=15000,"standerd",Table5[[#This Row],[6,ORDER VALUE]]&gt;=15000,"premium")</f>
        <v>basic</v>
      </c>
    </row>
    <row r="15" spans="1:19" ht="29" x14ac:dyDescent="0.35">
      <c r="A15" s="7" t="s">
        <v>122</v>
      </c>
      <c r="B15" s="7" t="s">
        <v>58</v>
      </c>
      <c r="C15" s="7" t="s">
        <v>28</v>
      </c>
      <c r="D15" s="7" t="s">
        <v>46</v>
      </c>
      <c r="E15" s="7" t="s">
        <v>92</v>
      </c>
      <c r="F15" s="7" t="s">
        <v>123</v>
      </c>
      <c r="G15" s="7" t="s">
        <v>94</v>
      </c>
      <c r="H15" s="4">
        <v>2</v>
      </c>
      <c r="I15" s="4">
        <v>7500</v>
      </c>
      <c r="J15" s="4">
        <v>600</v>
      </c>
      <c r="K15" s="4">
        <v>350</v>
      </c>
      <c r="L15" s="7" t="s">
        <v>95</v>
      </c>
      <c r="M15" s="7" t="s">
        <v>96</v>
      </c>
      <c r="N15" s="7" t="s">
        <v>90</v>
      </c>
      <c r="O15" s="7">
        <f>PRODUCT(Table5[[#This Row],[Quantity]],Table5[[#This Row],[Unit_Price]])</f>
        <v>15000</v>
      </c>
      <c r="P15" s="7" t="str">
        <f>IF(AND(Table5[[#This Row],[Quantity]]&gt;=3,Table5[[#This Row],[Unit_Price]]&gt;=3000),"HIGH VALUE ORDER","REGULAR ORDER")</f>
        <v>REGULAR ORDER</v>
      </c>
      <c r="Q15" s="7" t="str" cm="1">
        <f t="array" ref="Q15">_xlfn.IFS(Table5[[#This Row],[6,ORDER VALUE]]&lt;=5000,"low",Table5[[#This Row],[6,ORDER VALUE]]&lt;=15000,"medium",Table5[[#This Row],[6,ORDER VALUE]]&gt;=15000,"high")</f>
        <v>medium</v>
      </c>
      <c r="R15" s="7" t="str">
        <f>IF(Table5[[#This Row],[6,ORDER VALUE]]&gt;=15000,"prority","standerd")</f>
        <v>prority</v>
      </c>
      <c r="S15" s="7" t="str" cm="1">
        <f t="array" ref="S15">_xlfn.IFS(Table5[[#This Row],[6,ORDER VALUE]]&lt;=5000,"basic",Table5[[#This Row],[6,ORDER VALUE]]&lt;=15000,"standerd",Table5[[#This Row],[6,ORDER VALUE]]&gt;=15000,"premium")</f>
        <v>standerd</v>
      </c>
    </row>
    <row r="16" spans="1:19" x14ac:dyDescent="0.35">
      <c r="A16" s="7" t="s">
        <v>124</v>
      </c>
      <c r="B16" s="7" t="s">
        <v>59</v>
      </c>
      <c r="C16" s="7" t="s">
        <v>28</v>
      </c>
      <c r="D16" s="7" t="s">
        <v>48</v>
      </c>
      <c r="E16" s="7" t="s">
        <v>98</v>
      </c>
      <c r="F16" s="7" t="s">
        <v>125</v>
      </c>
      <c r="G16" s="7" t="s">
        <v>38</v>
      </c>
      <c r="H16" s="4">
        <v>2</v>
      </c>
      <c r="I16" s="4">
        <v>3800</v>
      </c>
      <c r="J16" s="4">
        <v>300</v>
      </c>
      <c r="K16" s="4">
        <v>150</v>
      </c>
      <c r="L16" s="7" t="s">
        <v>37</v>
      </c>
      <c r="M16" s="7" t="s">
        <v>89</v>
      </c>
      <c r="N16" s="7" t="s">
        <v>90</v>
      </c>
      <c r="O16" s="7">
        <f>PRODUCT(Table5[[#This Row],[Quantity]],Table5[[#This Row],[Unit_Price]])</f>
        <v>7600</v>
      </c>
      <c r="P16" s="7" t="str">
        <f>IF(AND(Table5[[#This Row],[Quantity]]&gt;=3,Table5[[#This Row],[Unit_Price]]&gt;=3000),"HIGH VALUE ORDER","REGULAR ORDER")</f>
        <v>REGULAR ORDER</v>
      </c>
      <c r="Q16" s="7" t="str" cm="1">
        <f t="array" ref="Q16">_xlfn.IFS(Table5[[#This Row],[6,ORDER VALUE]]&lt;=5000,"low",Table5[[#This Row],[6,ORDER VALUE]]&lt;=15000,"medium",Table5[[#This Row],[6,ORDER VALUE]]&gt;=15000,"high")</f>
        <v>medium</v>
      </c>
      <c r="R16" s="7" t="str">
        <f>IF(Table5[[#This Row],[6,ORDER VALUE]]&gt;=15000,"prority","standerd")</f>
        <v>standerd</v>
      </c>
      <c r="S16" s="7" t="str" cm="1">
        <f t="array" ref="S16">_xlfn.IFS(Table5[[#This Row],[6,ORDER VALUE]]&lt;=5000,"basic",Table5[[#This Row],[6,ORDER VALUE]]&lt;=15000,"standerd",Table5[[#This Row],[6,ORDER VALUE]]&gt;=15000,"premium")</f>
        <v>standerd</v>
      </c>
    </row>
    <row r="17" spans="1:19" ht="29" x14ac:dyDescent="0.35">
      <c r="A17" s="7" t="s">
        <v>126</v>
      </c>
      <c r="B17" s="7" t="s">
        <v>60</v>
      </c>
      <c r="C17" s="7" t="s">
        <v>29</v>
      </c>
      <c r="D17" s="7" t="s">
        <v>36</v>
      </c>
      <c r="E17" s="7" t="s">
        <v>104</v>
      </c>
      <c r="F17" s="7" t="s">
        <v>127</v>
      </c>
      <c r="G17" s="7" t="s">
        <v>44</v>
      </c>
      <c r="H17" s="4">
        <v>3</v>
      </c>
      <c r="I17" s="4">
        <v>2800</v>
      </c>
      <c r="J17" s="4">
        <v>250</v>
      </c>
      <c r="K17" s="4">
        <v>100</v>
      </c>
      <c r="L17" s="7" t="s">
        <v>37</v>
      </c>
      <c r="M17" s="7" t="s">
        <v>89</v>
      </c>
      <c r="N17" s="7" t="s">
        <v>90</v>
      </c>
      <c r="O17" s="7">
        <f>PRODUCT(Table5[[#This Row],[Quantity]],Table5[[#This Row],[Unit_Price]])</f>
        <v>8400</v>
      </c>
      <c r="P17" s="7" t="str">
        <f>IF(AND(Table5[[#This Row],[Quantity]]&gt;=3,Table5[[#This Row],[Unit_Price]]&gt;=3000),"HIGH VALUE ORDER","REGULAR ORDER")</f>
        <v>REGULAR ORDER</v>
      </c>
      <c r="Q17" s="7" t="str" cm="1">
        <f t="array" ref="Q17">_xlfn.IFS(Table5[[#This Row],[6,ORDER VALUE]]&lt;=5000,"low",Table5[[#This Row],[6,ORDER VALUE]]&lt;=15000,"medium",Table5[[#This Row],[6,ORDER VALUE]]&gt;=15000,"high")</f>
        <v>medium</v>
      </c>
      <c r="R17" s="7" t="str">
        <f>IF(Table5[[#This Row],[6,ORDER VALUE]]&gt;=15000,"prority","standerd")</f>
        <v>standerd</v>
      </c>
      <c r="S17" s="7" t="str" cm="1">
        <f t="array" ref="S17">_xlfn.IFS(Table5[[#This Row],[6,ORDER VALUE]]&lt;=5000,"basic",Table5[[#This Row],[6,ORDER VALUE]]&lt;=15000,"standerd",Table5[[#This Row],[6,ORDER VALUE]]&gt;=15000,"premium")</f>
        <v>standerd</v>
      </c>
    </row>
    <row r="18" spans="1:19" ht="29" x14ac:dyDescent="0.35">
      <c r="A18" s="7" t="s">
        <v>128</v>
      </c>
      <c r="B18" s="7" t="s">
        <v>61</v>
      </c>
      <c r="C18" s="7" t="s">
        <v>28</v>
      </c>
      <c r="D18" s="7" t="s">
        <v>51</v>
      </c>
      <c r="E18" s="7" t="s">
        <v>87</v>
      </c>
      <c r="F18" s="7" t="s">
        <v>129</v>
      </c>
      <c r="G18" s="7" t="s">
        <v>38</v>
      </c>
      <c r="H18" s="4">
        <v>2</v>
      </c>
      <c r="I18" s="4">
        <v>4200</v>
      </c>
      <c r="J18" s="4">
        <v>250</v>
      </c>
      <c r="K18" s="4">
        <v>130</v>
      </c>
      <c r="L18" s="7" t="s">
        <v>37</v>
      </c>
      <c r="M18" s="7" t="s">
        <v>96</v>
      </c>
      <c r="N18" s="7" t="s">
        <v>90</v>
      </c>
      <c r="O18" s="7">
        <f>PRODUCT(Table5[[#This Row],[Quantity]],Table5[[#This Row],[Unit_Price]])</f>
        <v>8400</v>
      </c>
      <c r="P18" s="7" t="str">
        <f>IF(AND(Table5[[#This Row],[Quantity]]&gt;=3,Table5[[#This Row],[Unit_Price]]&gt;=3000),"HIGH VALUE ORDER","REGULAR ORDER")</f>
        <v>REGULAR ORDER</v>
      </c>
      <c r="Q18" s="7" t="str" cm="1">
        <f t="array" ref="Q18">_xlfn.IFS(Table5[[#This Row],[6,ORDER VALUE]]&lt;=5000,"low",Table5[[#This Row],[6,ORDER VALUE]]&lt;=15000,"medium",Table5[[#This Row],[6,ORDER VALUE]]&gt;=15000,"high")</f>
        <v>medium</v>
      </c>
      <c r="R18" s="7" t="str">
        <f>IF(Table5[[#This Row],[6,ORDER VALUE]]&gt;=15000,"prority","standerd")</f>
        <v>standerd</v>
      </c>
      <c r="S18" s="7" t="str" cm="1">
        <f t="array" ref="S18">_xlfn.IFS(Table5[[#This Row],[6,ORDER VALUE]]&lt;=5000,"basic",Table5[[#This Row],[6,ORDER VALUE]]&lt;=15000,"standerd",Table5[[#This Row],[6,ORDER VALUE]]&gt;=15000,"premium")</f>
        <v>standerd</v>
      </c>
    </row>
    <row r="19" spans="1:19" ht="29" x14ac:dyDescent="0.35">
      <c r="A19" s="7" t="s">
        <v>130</v>
      </c>
      <c r="B19" s="7" t="s">
        <v>62</v>
      </c>
      <c r="C19" s="7" t="s">
        <v>29</v>
      </c>
      <c r="D19" s="7" t="s">
        <v>42</v>
      </c>
      <c r="E19" s="7" t="s">
        <v>92</v>
      </c>
      <c r="F19" s="7" t="s">
        <v>131</v>
      </c>
      <c r="G19" s="7" t="s">
        <v>94</v>
      </c>
      <c r="H19" s="4">
        <v>4</v>
      </c>
      <c r="I19" s="4">
        <v>3500</v>
      </c>
      <c r="J19" s="4">
        <v>400</v>
      </c>
      <c r="K19" s="4">
        <v>300</v>
      </c>
      <c r="L19" s="7" t="s">
        <v>95</v>
      </c>
      <c r="M19" s="7" t="s">
        <v>96</v>
      </c>
      <c r="N19" s="7" t="s">
        <v>90</v>
      </c>
      <c r="O19" s="7">
        <f>PRODUCT(Table5[[#This Row],[Quantity]],Table5[[#This Row],[Unit_Price]])</f>
        <v>14000</v>
      </c>
      <c r="P19" s="7" t="str">
        <f>IF(AND(Table5[[#This Row],[Quantity]]&gt;=3,Table5[[#This Row],[Unit_Price]]&gt;=3000),"HIGH VALUE ORDER","REGULAR ORDER")</f>
        <v>HIGH VALUE ORDER</v>
      </c>
      <c r="Q19" s="7" t="str" cm="1">
        <f t="array" ref="Q19">_xlfn.IFS(Table5[[#This Row],[6,ORDER VALUE]]&lt;=5000,"low",Table5[[#This Row],[6,ORDER VALUE]]&lt;=15000,"medium",Table5[[#This Row],[6,ORDER VALUE]]&gt;=15000,"high")</f>
        <v>medium</v>
      </c>
      <c r="R19" s="7" t="str">
        <f>IF(Table5[[#This Row],[6,ORDER VALUE]]&gt;=15000,"prority","standerd")</f>
        <v>standerd</v>
      </c>
      <c r="S19" s="7" t="str" cm="1">
        <f t="array" ref="S19">_xlfn.IFS(Table5[[#This Row],[6,ORDER VALUE]]&lt;=5000,"basic",Table5[[#This Row],[6,ORDER VALUE]]&lt;=15000,"standerd",Table5[[#This Row],[6,ORDER VALUE]]&gt;=15000,"premium")</f>
        <v>standerd</v>
      </c>
    </row>
    <row r="20" spans="1:19" ht="29" x14ac:dyDescent="0.35">
      <c r="A20" s="7" t="s">
        <v>132</v>
      </c>
      <c r="B20" s="7" t="s">
        <v>63</v>
      </c>
      <c r="C20" s="7" t="s">
        <v>28</v>
      </c>
      <c r="D20" s="7" t="s">
        <v>36</v>
      </c>
      <c r="E20" s="7" t="s">
        <v>87</v>
      </c>
      <c r="F20" s="7" t="s">
        <v>133</v>
      </c>
      <c r="G20" s="7" t="s">
        <v>38</v>
      </c>
      <c r="H20" s="4">
        <v>3</v>
      </c>
      <c r="I20" s="4">
        <v>1600</v>
      </c>
      <c r="J20" s="4">
        <v>100</v>
      </c>
      <c r="K20" s="4">
        <v>90</v>
      </c>
      <c r="L20" s="7" t="s">
        <v>37</v>
      </c>
      <c r="M20" s="7" t="s">
        <v>89</v>
      </c>
      <c r="N20" s="7" t="s">
        <v>90</v>
      </c>
      <c r="O20" s="7">
        <f>PRODUCT(Table5[[#This Row],[Quantity]],Table5[[#This Row],[Unit_Price]])</f>
        <v>4800</v>
      </c>
      <c r="P20" s="7" t="str">
        <f>IF(AND(Table5[[#This Row],[Quantity]]&gt;=3,Table5[[#This Row],[Unit_Price]]&gt;=3000),"HIGH VALUE ORDER","REGULAR ORDER")</f>
        <v>REGULAR ORDER</v>
      </c>
      <c r="Q20" s="7" t="str" cm="1">
        <f t="array" ref="Q20">_xlfn.IFS(Table5[[#This Row],[6,ORDER VALUE]]&lt;=5000,"low",Table5[[#This Row],[6,ORDER VALUE]]&lt;=15000,"medium",Table5[[#This Row],[6,ORDER VALUE]]&gt;=15000,"high")</f>
        <v>low</v>
      </c>
      <c r="R20" s="7" t="str">
        <f>IF(Table5[[#This Row],[6,ORDER VALUE]]&gt;=15000,"prority","standerd")</f>
        <v>standerd</v>
      </c>
      <c r="S20" s="7" t="str" cm="1">
        <f t="array" ref="S20">_xlfn.IFS(Table5[[#This Row],[6,ORDER VALUE]]&lt;=5000,"basic",Table5[[#This Row],[6,ORDER VALUE]]&lt;=15000,"standerd",Table5[[#This Row],[6,ORDER VALUE]]&gt;=15000,"premium")</f>
        <v>basic</v>
      </c>
    </row>
    <row r="21" spans="1:19" ht="29" x14ac:dyDescent="0.35">
      <c r="A21" s="7" t="s">
        <v>134</v>
      </c>
      <c r="B21" s="7" t="s">
        <v>65</v>
      </c>
      <c r="C21" s="7" t="s">
        <v>29</v>
      </c>
      <c r="D21" s="7" t="s">
        <v>40</v>
      </c>
      <c r="E21" s="7" t="s">
        <v>104</v>
      </c>
      <c r="F21" s="7" t="s">
        <v>135</v>
      </c>
      <c r="G21" s="7" t="s">
        <v>44</v>
      </c>
      <c r="H21" s="4">
        <v>2</v>
      </c>
      <c r="I21" s="4">
        <v>3100</v>
      </c>
      <c r="J21" s="4">
        <v>200</v>
      </c>
      <c r="K21" s="4">
        <v>110</v>
      </c>
      <c r="L21" s="7" t="s">
        <v>37</v>
      </c>
      <c r="M21" s="7" t="s">
        <v>96</v>
      </c>
      <c r="N21" s="7" t="s">
        <v>90</v>
      </c>
      <c r="O21" s="7">
        <f>PRODUCT(Table5[[#This Row],[Quantity]],Table5[[#This Row],[Unit_Price]])</f>
        <v>6200</v>
      </c>
      <c r="P21" s="7" t="str">
        <f>IF(AND(Table5[[#This Row],[Quantity]]&gt;=3,Table5[[#This Row],[Unit_Price]]&gt;=3000),"HIGH VALUE ORDER","REGULAR ORDER")</f>
        <v>REGULAR ORDER</v>
      </c>
      <c r="Q21" s="7" t="str" cm="1">
        <f t="array" ref="Q21">_xlfn.IFS(Table5[[#This Row],[6,ORDER VALUE]]&lt;=5000,"low",Table5[[#This Row],[6,ORDER VALUE]]&lt;=15000,"medium",Table5[[#This Row],[6,ORDER VALUE]]&gt;=15000,"high")</f>
        <v>medium</v>
      </c>
      <c r="R21" s="7" t="str">
        <f>IF(Table5[[#This Row],[6,ORDER VALUE]]&gt;=15000,"prority","standerd")</f>
        <v>standerd</v>
      </c>
      <c r="S21" s="7" t="str" cm="1">
        <f t="array" ref="S21">_xlfn.IFS(Table5[[#This Row],[6,ORDER VALUE]]&lt;=5000,"basic",Table5[[#This Row],[6,ORDER VALUE]]&lt;=15000,"standerd",Table5[[#This Row],[6,ORDER VALUE]]&gt;=15000,"premium")</f>
        <v>standerd</v>
      </c>
    </row>
    <row r="22" spans="1:19" x14ac:dyDescent="0.35">
      <c r="A22" s="7" t="s">
        <v>136</v>
      </c>
      <c r="B22" s="7" t="s">
        <v>64</v>
      </c>
      <c r="C22" s="7" t="s">
        <v>28</v>
      </c>
      <c r="D22" s="7" t="s">
        <v>36</v>
      </c>
      <c r="E22" s="7" t="s">
        <v>98</v>
      </c>
      <c r="F22" s="7" t="s">
        <v>137</v>
      </c>
      <c r="G22" s="7" t="s">
        <v>38</v>
      </c>
      <c r="H22" s="4">
        <v>5</v>
      </c>
      <c r="I22" s="4">
        <v>900</v>
      </c>
      <c r="J22" s="4">
        <v>100</v>
      </c>
      <c r="K22" s="4">
        <v>100</v>
      </c>
      <c r="L22" s="7" t="s">
        <v>37</v>
      </c>
      <c r="M22" s="7" t="s">
        <v>89</v>
      </c>
      <c r="N22" s="7" t="s">
        <v>90</v>
      </c>
      <c r="O22" s="7">
        <f>PRODUCT(Table5[[#This Row],[Quantity]],Table5[[#This Row],[Unit_Price]])</f>
        <v>4500</v>
      </c>
      <c r="P22" s="7" t="str">
        <f>IF(AND(Table5[[#This Row],[Quantity]]&gt;=3,Table5[[#This Row],[Unit_Price]]&gt;=3000),"HIGH VALUE ORDER","REGULAR ORDER")</f>
        <v>REGULAR ORDER</v>
      </c>
      <c r="Q22" s="7" t="str" cm="1">
        <f t="array" ref="Q22">_xlfn.IFS(Table5[[#This Row],[6,ORDER VALUE]]&lt;=5000,"low",Table5[[#This Row],[6,ORDER VALUE]]&lt;=15000,"medium",Table5[[#This Row],[6,ORDER VALUE]]&gt;=15000,"high")</f>
        <v>low</v>
      </c>
      <c r="R22" s="7" t="str">
        <f>IF(Table5[[#This Row],[6,ORDER VALUE]]&gt;=15000,"prority","standerd")</f>
        <v>standerd</v>
      </c>
      <c r="S22" s="7" t="str" cm="1">
        <f t="array" ref="S22">_xlfn.IFS(Table5[[#This Row],[6,ORDER VALUE]]&lt;=5000,"basic",Table5[[#This Row],[6,ORDER VALUE]]&lt;=15000,"standerd",Table5[[#This Row],[6,ORDER VALUE]]&gt;=15000,"premium")</f>
        <v>basic</v>
      </c>
    </row>
    <row r="23" spans="1:19" ht="29" x14ac:dyDescent="0.35">
      <c r="A23" s="7" t="s">
        <v>138</v>
      </c>
      <c r="B23" s="7" t="s">
        <v>66</v>
      </c>
      <c r="C23" s="7" t="s">
        <v>28</v>
      </c>
      <c r="D23" s="7" t="s">
        <v>46</v>
      </c>
      <c r="E23" s="7" t="s">
        <v>87</v>
      </c>
      <c r="F23" s="7" t="s">
        <v>139</v>
      </c>
      <c r="G23" s="7" t="s">
        <v>94</v>
      </c>
      <c r="H23" s="4">
        <v>1</v>
      </c>
      <c r="I23" s="4">
        <v>22000</v>
      </c>
      <c r="J23" s="4">
        <v>1500</v>
      </c>
      <c r="K23" s="4">
        <v>500</v>
      </c>
      <c r="L23" s="7" t="s">
        <v>95</v>
      </c>
      <c r="M23" s="7" t="s">
        <v>96</v>
      </c>
      <c r="N23" s="7" t="s">
        <v>90</v>
      </c>
      <c r="O23" s="7">
        <f>PRODUCT(Table5[[#This Row],[Quantity]],Table5[[#This Row],[Unit_Price]])</f>
        <v>22000</v>
      </c>
      <c r="P23" s="7" t="str">
        <f>IF(AND(Table5[[#This Row],[Quantity]]&gt;=3,Table5[[#This Row],[Unit_Price]]&gt;=3000),"HIGH VALUE ORDER","REGULAR ORDER")</f>
        <v>REGULAR ORDER</v>
      </c>
      <c r="Q23" s="7" t="str" cm="1">
        <f t="array" ref="Q23">_xlfn.IFS(Table5[[#This Row],[6,ORDER VALUE]]&lt;=5000,"low",Table5[[#This Row],[6,ORDER VALUE]]&lt;=15000,"medium",Table5[[#This Row],[6,ORDER VALUE]]&gt;=15000,"high")</f>
        <v>high</v>
      </c>
      <c r="R23" s="7" t="str">
        <f>IF(Table5[[#This Row],[6,ORDER VALUE]]&gt;=15000,"prority","standerd")</f>
        <v>prority</v>
      </c>
      <c r="S23" s="7" t="str" cm="1">
        <f t="array" ref="S23">_xlfn.IFS(Table5[[#This Row],[6,ORDER VALUE]]&lt;=5000,"basic",Table5[[#This Row],[6,ORDER VALUE]]&lt;=15000,"standerd",Table5[[#This Row],[6,ORDER VALUE]]&gt;=15000,"premium")</f>
        <v>premium</v>
      </c>
    </row>
    <row r="24" spans="1:19" x14ac:dyDescent="0.35">
      <c r="A24" s="7" t="s">
        <v>140</v>
      </c>
      <c r="B24" s="7" t="s">
        <v>67</v>
      </c>
      <c r="C24" s="7" t="s">
        <v>29</v>
      </c>
      <c r="D24" s="7" t="s">
        <v>48</v>
      </c>
      <c r="E24" s="7" t="s">
        <v>92</v>
      </c>
      <c r="F24" s="7" t="s">
        <v>123</v>
      </c>
      <c r="G24" s="7" t="s">
        <v>38</v>
      </c>
      <c r="H24" s="4">
        <v>2</v>
      </c>
      <c r="I24" s="4">
        <v>6800</v>
      </c>
      <c r="J24" s="4">
        <v>500</v>
      </c>
      <c r="K24" s="4">
        <v>300</v>
      </c>
      <c r="L24" s="7" t="s">
        <v>95</v>
      </c>
      <c r="M24" s="7" t="s">
        <v>89</v>
      </c>
      <c r="N24" s="7" t="s">
        <v>90</v>
      </c>
      <c r="O24" s="7">
        <f>PRODUCT(Table5[[#This Row],[Quantity]],Table5[[#This Row],[Unit_Price]])</f>
        <v>13600</v>
      </c>
      <c r="P24" s="7" t="str">
        <f>IF(AND(Table5[[#This Row],[Quantity]]&gt;=3,Table5[[#This Row],[Unit_Price]]&gt;=3000),"HIGH VALUE ORDER","REGULAR ORDER")</f>
        <v>REGULAR ORDER</v>
      </c>
      <c r="Q24" s="7" t="str" cm="1">
        <f t="array" ref="Q24">_xlfn.IFS(Table5[[#This Row],[6,ORDER VALUE]]&lt;=5000,"low",Table5[[#This Row],[6,ORDER VALUE]]&lt;=15000,"medium",Table5[[#This Row],[6,ORDER VALUE]]&gt;=15000,"high")</f>
        <v>medium</v>
      </c>
      <c r="R24" s="7" t="str">
        <f>IF(Table5[[#This Row],[6,ORDER VALUE]]&gt;=15000,"prority","standerd")</f>
        <v>standerd</v>
      </c>
      <c r="S24" s="7" t="str" cm="1">
        <f t="array" ref="S24">_xlfn.IFS(Table5[[#This Row],[6,ORDER VALUE]]&lt;=5000,"basic",Table5[[#This Row],[6,ORDER VALUE]]&lt;=15000,"standerd",Table5[[#This Row],[6,ORDER VALUE]]&gt;=15000,"premium")</f>
        <v>standerd</v>
      </c>
    </row>
    <row r="25" spans="1:19" ht="29" x14ac:dyDescent="0.35">
      <c r="A25" s="7" t="s">
        <v>141</v>
      </c>
      <c r="B25" s="7" t="s">
        <v>68</v>
      </c>
      <c r="C25" s="7" t="s">
        <v>28</v>
      </c>
      <c r="D25" s="7" t="s">
        <v>36</v>
      </c>
      <c r="E25" s="7" t="s">
        <v>98</v>
      </c>
      <c r="F25" s="7" t="s">
        <v>142</v>
      </c>
      <c r="G25" s="7" t="s">
        <v>94</v>
      </c>
      <c r="H25" s="4">
        <v>3</v>
      </c>
      <c r="I25" s="4">
        <v>2100</v>
      </c>
      <c r="J25" s="4">
        <v>150</v>
      </c>
      <c r="K25" s="4">
        <v>120</v>
      </c>
      <c r="L25" s="7" t="s">
        <v>37</v>
      </c>
      <c r="M25" s="7" t="s">
        <v>96</v>
      </c>
      <c r="N25" s="7" t="s">
        <v>90</v>
      </c>
      <c r="O25" s="7">
        <f>PRODUCT(Table5[[#This Row],[Quantity]],Table5[[#This Row],[Unit_Price]])</f>
        <v>6300</v>
      </c>
      <c r="P25" s="7" t="str">
        <f>IF(AND(Table5[[#This Row],[Quantity]]&gt;=3,Table5[[#This Row],[Unit_Price]]&gt;=3000),"HIGH VALUE ORDER","REGULAR ORDER")</f>
        <v>REGULAR ORDER</v>
      </c>
      <c r="Q25" s="7" t="str" cm="1">
        <f t="array" ref="Q25">_xlfn.IFS(Table5[[#This Row],[6,ORDER VALUE]]&lt;=5000,"low",Table5[[#This Row],[6,ORDER VALUE]]&lt;=15000,"medium",Table5[[#This Row],[6,ORDER VALUE]]&gt;=15000,"high")</f>
        <v>medium</v>
      </c>
      <c r="R25" s="7" t="str">
        <f>IF(Table5[[#This Row],[6,ORDER VALUE]]&gt;=15000,"prority","standerd")</f>
        <v>standerd</v>
      </c>
      <c r="S25" s="7" t="str" cm="1">
        <f t="array" ref="S25">_xlfn.IFS(Table5[[#This Row],[6,ORDER VALUE]]&lt;=5000,"basic",Table5[[#This Row],[6,ORDER VALUE]]&lt;=15000,"standerd",Table5[[#This Row],[6,ORDER VALUE]]&gt;=15000,"premium")</f>
        <v>standerd</v>
      </c>
    </row>
    <row r="26" spans="1:19" ht="29" x14ac:dyDescent="0.35">
      <c r="A26" s="7" t="s">
        <v>143</v>
      </c>
      <c r="B26" s="7" t="s">
        <v>73</v>
      </c>
      <c r="C26" s="7" t="s">
        <v>29</v>
      </c>
      <c r="D26" s="7" t="s">
        <v>42</v>
      </c>
      <c r="E26" s="7" t="s">
        <v>104</v>
      </c>
      <c r="F26" s="7" t="s">
        <v>144</v>
      </c>
      <c r="G26" s="7" t="s">
        <v>44</v>
      </c>
      <c r="H26" s="4">
        <v>4</v>
      </c>
      <c r="I26" s="4">
        <v>950</v>
      </c>
      <c r="J26" s="4">
        <v>80</v>
      </c>
      <c r="K26" s="4">
        <v>70</v>
      </c>
      <c r="L26" s="7" t="s">
        <v>37</v>
      </c>
      <c r="M26" s="7" t="s">
        <v>89</v>
      </c>
      <c r="N26" s="7" t="s">
        <v>90</v>
      </c>
      <c r="O26" s="7">
        <f>PRODUCT(Table5[[#This Row],[Quantity]],Table5[[#This Row],[Unit_Price]])</f>
        <v>3800</v>
      </c>
      <c r="P26" s="7" t="str">
        <f>IF(AND(Table5[[#This Row],[Quantity]]&gt;=3,Table5[[#This Row],[Unit_Price]]&gt;=3000),"HIGH VALUE ORDER","REGULAR ORDER")</f>
        <v>REGULAR ORDER</v>
      </c>
      <c r="Q26" s="7" t="str" cm="1">
        <f t="array" ref="Q26">_xlfn.IFS(Table5[[#This Row],[6,ORDER VALUE]]&lt;=5000,"low",Table5[[#This Row],[6,ORDER VALUE]]&lt;=15000,"medium",Table5[[#This Row],[6,ORDER VALUE]]&gt;=15000,"high")</f>
        <v>low</v>
      </c>
      <c r="R26" s="7" t="str">
        <f>IF(Table5[[#This Row],[6,ORDER VALUE]]&gt;=15000,"prority","standerd")</f>
        <v>standerd</v>
      </c>
      <c r="S26" s="7" t="str" cm="1">
        <f t="array" ref="S26">_xlfn.IFS(Table5[[#This Row],[6,ORDER VALUE]]&lt;=5000,"basic",Table5[[#This Row],[6,ORDER VALUE]]&lt;=15000,"standerd",Table5[[#This Row],[6,ORDER VALUE]]&gt;=15000,"premium")</f>
        <v>basic</v>
      </c>
    </row>
    <row r="27" spans="1:19" ht="29" x14ac:dyDescent="0.35">
      <c r="A27" s="7" t="s">
        <v>145</v>
      </c>
      <c r="B27" s="7" t="s">
        <v>69</v>
      </c>
      <c r="C27" s="7" t="s">
        <v>29</v>
      </c>
      <c r="D27" s="7" t="s">
        <v>36</v>
      </c>
      <c r="E27" s="7" t="s">
        <v>87</v>
      </c>
      <c r="F27" s="7" t="s">
        <v>146</v>
      </c>
      <c r="G27" s="7" t="s">
        <v>38</v>
      </c>
      <c r="H27" s="4">
        <v>2</v>
      </c>
      <c r="I27" s="4">
        <v>2800</v>
      </c>
      <c r="J27" s="4">
        <v>150</v>
      </c>
      <c r="K27" s="4">
        <v>100</v>
      </c>
      <c r="L27" s="7" t="s">
        <v>37</v>
      </c>
      <c r="M27" s="7" t="s">
        <v>89</v>
      </c>
      <c r="N27" s="7" t="s">
        <v>90</v>
      </c>
      <c r="O27" s="7">
        <f>PRODUCT(Table5[[#This Row],[Quantity]],Table5[[#This Row],[Unit_Price]])</f>
        <v>5600</v>
      </c>
      <c r="P27" s="7" t="str">
        <f>IF(AND(Table5[[#This Row],[Quantity]]&gt;=3,Table5[[#This Row],[Unit_Price]]&gt;=3000),"HIGH VALUE ORDER","REGULAR ORDER")</f>
        <v>REGULAR ORDER</v>
      </c>
      <c r="Q27" s="7" t="str" cm="1">
        <f t="array" ref="Q27">_xlfn.IFS(Table5[[#This Row],[6,ORDER VALUE]]&lt;=5000,"low",Table5[[#This Row],[6,ORDER VALUE]]&lt;=15000,"medium",Table5[[#This Row],[6,ORDER VALUE]]&gt;=15000,"high")</f>
        <v>medium</v>
      </c>
      <c r="R27" s="7" t="str">
        <f>IF(Table5[[#This Row],[6,ORDER VALUE]]&gt;=15000,"prority","standerd")</f>
        <v>standerd</v>
      </c>
      <c r="S27" s="7" t="str" cm="1">
        <f t="array" ref="S27">_xlfn.IFS(Table5[[#This Row],[6,ORDER VALUE]]&lt;=5000,"basic",Table5[[#This Row],[6,ORDER VALUE]]&lt;=15000,"standerd",Table5[[#This Row],[6,ORDER VALUE]]&gt;=15000,"premium")</f>
        <v>standerd</v>
      </c>
    </row>
    <row r="28" spans="1:19" ht="29" x14ac:dyDescent="0.35">
      <c r="A28" s="7" t="s">
        <v>147</v>
      </c>
      <c r="B28" s="7" t="s">
        <v>70</v>
      </c>
      <c r="C28" s="7" t="s">
        <v>28</v>
      </c>
      <c r="D28" s="7" t="s">
        <v>40</v>
      </c>
      <c r="E28" s="7" t="s">
        <v>92</v>
      </c>
      <c r="F28" s="7" t="s">
        <v>148</v>
      </c>
      <c r="G28" s="7" t="s">
        <v>94</v>
      </c>
      <c r="H28" s="4">
        <v>1</v>
      </c>
      <c r="I28" s="4">
        <v>18500</v>
      </c>
      <c r="J28" s="4">
        <v>1200</v>
      </c>
      <c r="K28" s="4">
        <v>600</v>
      </c>
      <c r="L28" s="7" t="s">
        <v>95</v>
      </c>
      <c r="M28" s="7" t="s">
        <v>96</v>
      </c>
      <c r="N28" s="7" t="s">
        <v>90</v>
      </c>
      <c r="O28" s="7">
        <f>PRODUCT(Table5[[#This Row],[Quantity]],Table5[[#This Row],[Unit_Price]])</f>
        <v>18500</v>
      </c>
      <c r="P28" s="7" t="str">
        <f>IF(AND(Table5[[#This Row],[Quantity]]&gt;=3,Table5[[#This Row],[Unit_Price]]&gt;=3000),"HIGH VALUE ORDER","REGULAR ORDER")</f>
        <v>REGULAR ORDER</v>
      </c>
      <c r="Q28" s="7" t="str" cm="1">
        <f t="array" ref="Q28">_xlfn.IFS(Table5[[#This Row],[6,ORDER VALUE]]&lt;=5000,"low",Table5[[#This Row],[6,ORDER VALUE]]&lt;=15000,"medium",Table5[[#This Row],[6,ORDER VALUE]]&gt;=15000,"high")</f>
        <v>high</v>
      </c>
      <c r="R28" s="7" t="str">
        <f>IF(Table5[[#This Row],[6,ORDER VALUE]]&gt;=15000,"prority","standerd")</f>
        <v>prority</v>
      </c>
      <c r="S28" s="7" t="str" cm="1">
        <f t="array" ref="S28">_xlfn.IFS(Table5[[#This Row],[6,ORDER VALUE]]&lt;=5000,"basic",Table5[[#This Row],[6,ORDER VALUE]]&lt;=15000,"standerd",Table5[[#This Row],[6,ORDER VALUE]]&gt;=15000,"premium")</f>
        <v>premium</v>
      </c>
    </row>
    <row r="29" spans="1:19" x14ac:dyDescent="0.35">
      <c r="A29" s="7" t="s">
        <v>149</v>
      </c>
      <c r="B29" s="7" t="s">
        <v>71</v>
      </c>
      <c r="C29" s="7" t="s">
        <v>29</v>
      </c>
      <c r="D29" s="7" t="s">
        <v>36</v>
      </c>
      <c r="E29" s="7" t="s">
        <v>98</v>
      </c>
      <c r="F29" s="7" t="s">
        <v>150</v>
      </c>
      <c r="G29" s="7" t="s">
        <v>44</v>
      </c>
      <c r="H29" s="4">
        <v>3</v>
      </c>
      <c r="I29" s="4">
        <v>1700</v>
      </c>
      <c r="J29" s="4">
        <v>120</v>
      </c>
      <c r="K29" s="4">
        <v>100</v>
      </c>
      <c r="L29" s="7" t="s">
        <v>37</v>
      </c>
      <c r="M29" s="7" t="s">
        <v>89</v>
      </c>
      <c r="N29" s="7" t="s">
        <v>90</v>
      </c>
      <c r="O29" s="7">
        <f>PRODUCT(Table5[[#This Row],[Quantity]],Table5[[#This Row],[Unit_Price]])</f>
        <v>5100</v>
      </c>
      <c r="P29" s="7" t="str">
        <f>IF(AND(Table5[[#This Row],[Quantity]]&gt;=3,Table5[[#This Row],[Unit_Price]]&gt;=3000),"HIGH VALUE ORDER","REGULAR ORDER")</f>
        <v>REGULAR ORDER</v>
      </c>
      <c r="Q29" s="7" t="str" cm="1">
        <f t="array" ref="Q29">_xlfn.IFS(Table5[[#This Row],[6,ORDER VALUE]]&lt;=5000,"low",Table5[[#This Row],[6,ORDER VALUE]]&lt;=15000,"medium",Table5[[#This Row],[6,ORDER VALUE]]&gt;=15000,"high")</f>
        <v>medium</v>
      </c>
      <c r="R29" s="7" t="str">
        <f>IF(Table5[[#This Row],[6,ORDER VALUE]]&gt;=15000,"prority","standerd")</f>
        <v>standerd</v>
      </c>
      <c r="S29" s="7" t="str" cm="1">
        <f t="array" ref="S29">_xlfn.IFS(Table5[[#This Row],[6,ORDER VALUE]]&lt;=5000,"basic",Table5[[#This Row],[6,ORDER VALUE]]&lt;=15000,"standerd",Table5[[#This Row],[6,ORDER VALUE]]&gt;=15000,"premium")</f>
        <v>standerd</v>
      </c>
    </row>
    <row r="30" spans="1:19" ht="29" x14ac:dyDescent="0.35">
      <c r="A30" s="7" t="s">
        <v>151</v>
      </c>
      <c r="B30" s="7" t="s">
        <v>72</v>
      </c>
      <c r="C30" s="7" t="s">
        <v>28</v>
      </c>
      <c r="D30" s="7" t="s">
        <v>51</v>
      </c>
      <c r="E30" s="7" t="s">
        <v>87</v>
      </c>
      <c r="F30" s="7" t="s">
        <v>152</v>
      </c>
      <c r="G30" s="7" t="s">
        <v>38</v>
      </c>
      <c r="H30" s="4">
        <v>2</v>
      </c>
      <c r="I30" s="4">
        <v>3600</v>
      </c>
      <c r="J30" s="4">
        <v>200</v>
      </c>
      <c r="K30" s="4">
        <v>100</v>
      </c>
      <c r="L30" s="7" t="s">
        <v>37</v>
      </c>
      <c r="M30" s="7" t="s">
        <v>96</v>
      </c>
      <c r="N30" s="7" t="s">
        <v>90</v>
      </c>
      <c r="O30" s="7">
        <f>PRODUCT(Table5[[#This Row],[Quantity]],Table5[[#This Row],[Unit_Price]])</f>
        <v>7200</v>
      </c>
      <c r="P30" s="7" t="str">
        <f>IF(AND(Table5[[#This Row],[Quantity]]&gt;=3,Table5[[#This Row],[Unit_Price]]&gt;=3000),"HIGH VALUE ORDER","REGULAR ORDER")</f>
        <v>REGULAR ORDER</v>
      </c>
      <c r="Q30" s="7" t="str" cm="1">
        <f t="array" ref="Q30">_xlfn.IFS(Table5[[#This Row],[6,ORDER VALUE]]&lt;=5000,"low",Table5[[#This Row],[6,ORDER VALUE]]&lt;=15000,"medium",Table5[[#This Row],[6,ORDER VALUE]]&gt;=15000,"high")</f>
        <v>medium</v>
      </c>
      <c r="R30" s="7" t="str">
        <f>IF(Table5[[#This Row],[6,ORDER VALUE]]&gt;=15000,"prority","standerd")</f>
        <v>standerd</v>
      </c>
      <c r="S30" s="7" t="str" cm="1">
        <f t="array" ref="S30">_xlfn.IFS(Table5[[#This Row],[6,ORDER VALUE]]&lt;=5000,"basic",Table5[[#This Row],[6,ORDER VALUE]]&lt;=15000,"standerd",Table5[[#This Row],[6,ORDER VALUE]]&gt;=15000,"premium")</f>
        <v>standerd</v>
      </c>
    </row>
    <row r="31" spans="1:19" ht="29" x14ac:dyDescent="0.35">
      <c r="A31" s="7" t="s">
        <v>153</v>
      </c>
      <c r="B31" s="7" t="s">
        <v>75</v>
      </c>
      <c r="C31" s="7" t="s">
        <v>29</v>
      </c>
      <c r="D31" s="7" t="s">
        <v>42</v>
      </c>
      <c r="E31" s="7" t="s">
        <v>104</v>
      </c>
      <c r="F31" s="7" t="s">
        <v>154</v>
      </c>
      <c r="G31" s="7" t="s">
        <v>94</v>
      </c>
      <c r="H31" s="4">
        <v>5</v>
      </c>
      <c r="I31" s="4">
        <v>850</v>
      </c>
      <c r="J31" s="4">
        <v>75</v>
      </c>
      <c r="K31" s="4">
        <v>80</v>
      </c>
      <c r="L31" s="7" t="s">
        <v>37</v>
      </c>
      <c r="M31" s="7" t="s">
        <v>89</v>
      </c>
      <c r="N31" s="7" t="s">
        <v>90</v>
      </c>
      <c r="O31" s="7">
        <f>PRODUCT(Table5[[#This Row],[Quantity]],Table5[[#This Row],[Unit_Price]])</f>
        <v>4250</v>
      </c>
      <c r="P31" s="7" t="str">
        <f>IF(AND(Table5[[#This Row],[Quantity]]&gt;=3,Table5[[#This Row],[Unit_Price]]&gt;=3000),"HIGH VALUE ORDER","REGULAR ORDER")</f>
        <v>REGULAR ORDER</v>
      </c>
      <c r="Q31" s="7" t="str" cm="1">
        <f t="array" ref="Q31">_xlfn.IFS(Table5[[#This Row],[6,ORDER VALUE]]&lt;=5000,"low",Table5[[#This Row],[6,ORDER VALUE]]&lt;=15000,"medium",Table5[[#This Row],[6,ORDER VALUE]]&gt;=15000,"high")</f>
        <v>low</v>
      </c>
      <c r="R31" s="7" t="str">
        <f>IF(Table5[[#This Row],[6,ORDER VALUE]]&gt;=15000,"prority","standerd")</f>
        <v>standerd</v>
      </c>
      <c r="S31" s="7" t="str" cm="1">
        <f t="array" ref="S31">_xlfn.IFS(Table5[[#This Row],[6,ORDER VALUE]]&lt;=5000,"basic",Table5[[#This Row],[6,ORDER VALUE]]&lt;=15000,"standerd",Table5[[#This Row],[6,ORDER VALUE]]&gt;=15000,"premium")</f>
        <v>basic</v>
      </c>
    </row>
    <row r="33" spans="1:2" x14ac:dyDescent="0.35">
      <c r="A33" t="s">
        <v>191</v>
      </c>
      <c r="B33" t="s">
        <v>192</v>
      </c>
    </row>
    <row r="34" spans="1:2" x14ac:dyDescent="0.35">
      <c r="A34">
        <v>1</v>
      </c>
      <c r="B34">
        <f>SUM(Table5[Quantity])</f>
        <v>75</v>
      </c>
    </row>
    <row r="35" spans="1:2" x14ac:dyDescent="0.35">
      <c r="A35">
        <v>2</v>
      </c>
      <c r="B35">
        <f>MAX(Table5[Unit_Price])</f>
        <v>28000</v>
      </c>
    </row>
    <row r="36" spans="1:2" x14ac:dyDescent="0.35">
      <c r="A36">
        <v>3</v>
      </c>
      <c r="B36">
        <f>AVERAGE(Table5[Unit_Price])</f>
        <v>5756.666666666667</v>
      </c>
    </row>
    <row r="37" spans="1:2" x14ac:dyDescent="0.35">
      <c r="A37">
        <v>4</v>
      </c>
      <c r="B37">
        <f>COUNTIF(Table5[Sales_Channel],G30)</f>
        <v>13</v>
      </c>
    </row>
    <row r="38" spans="1:2" x14ac:dyDescent="0.35">
      <c r="A38">
        <v>5</v>
      </c>
      <c r="B38">
        <f>SUMIF(Table5[State],D27,Table5[Shipping_Cost])</f>
        <v>1380</v>
      </c>
    </row>
    <row r="39" spans="1:2" x14ac:dyDescent="0.35">
      <c r="A39">
        <v>7</v>
      </c>
      <c r="B39">
        <f>MIN(Table5[Discount])</f>
        <v>75</v>
      </c>
    </row>
    <row r="40" spans="1:2" x14ac:dyDescent="0.35">
      <c r="A40">
        <v>8</v>
      </c>
      <c r="B40">
        <f>AVERAGEIF(Table5[Customer_Segment],L22,Table5[Quantity])</f>
        <v>2.8095238095238093</v>
      </c>
    </row>
    <row r="41" spans="1:2" x14ac:dyDescent="0.35">
      <c r="A41">
        <v>9</v>
      </c>
      <c r="B41">
        <f>COUNTIFS(Table5[State],D25,Table5[Category],E27)</f>
        <v>5</v>
      </c>
    </row>
    <row r="42" spans="1:2" x14ac:dyDescent="0.35">
      <c r="A42">
        <v>10</v>
      </c>
      <c r="B42">
        <f>SUMIF(Table5[State],D31,Table5[6,ORDER VALUE])</f>
        <v>55450</v>
      </c>
    </row>
    <row r="43" spans="1:2" x14ac:dyDescent="0.35">
      <c r="A43">
        <v>12</v>
      </c>
      <c r="B43">
        <f>MAX(Table5[Customer_Segment],L28,,Table5[6,ORDER VALUE])</f>
        <v>29000</v>
      </c>
    </row>
    <row r="44" spans="1:2" x14ac:dyDescent="0.35">
      <c r="A44">
        <v>13</v>
      </c>
      <c r="B44">
        <f>COUNTA(Table5[Order_ID])</f>
        <v>30</v>
      </c>
    </row>
    <row r="45" spans="1:2" x14ac:dyDescent="0.35">
      <c r="A45">
        <v>14</v>
      </c>
      <c r="B45">
        <f>AVERAGEIF(Table5[Category],E25,Table5[Discount])</f>
        <v>181.42857142857142</v>
      </c>
    </row>
    <row r="46" spans="1:2" x14ac:dyDescent="0.35">
      <c r="A46">
        <v>15</v>
      </c>
      <c r="B46">
        <f>COUNTIF(Table5[Gender],C31)</f>
        <v>15</v>
      </c>
    </row>
    <row r="47" spans="1:2" x14ac:dyDescent="0.35">
      <c r="A47">
        <v>16</v>
      </c>
      <c r="B47">
        <f>SUMIF(Table5[Sales_Channel],G29,Table5[Quantity])</f>
        <v>18</v>
      </c>
    </row>
    <row r="48" spans="1:2" x14ac:dyDescent="0.35">
      <c r="A48">
        <v>17</v>
      </c>
      <c r="B48" t="s">
        <v>197</v>
      </c>
    </row>
    <row r="49" spans="1:2" x14ac:dyDescent="0.35">
      <c r="A49">
        <v>18</v>
      </c>
      <c r="B49">
        <f>MIN(Table5[Category],E30,Table5[Unit_Price])</f>
        <v>850</v>
      </c>
    </row>
    <row r="50" spans="1:2" x14ac:dyDescent="0.35">
      <c r="A50">
        <v>19</v>
      </c>
      <c r="B50">
        <f>SUMIFS(Table5[6,ORDER VALUE],Table5[Customer_Segment],L29,Table5[State],D27)</f>
        <v>68000</v>
      </c>
    </row>
    <row r="51" spans="1:2" x14ac:dyDescent="0.35">
      <c r="A51">
        <v>20</v>
      </c>
      <c r="B51">
        <f>COUNTIFS(Table5[State],D28,Table5[Gender],C22)</f>
        <v>3</v>
      </c>
    </row>
    <row r="52" spans="1:2" x14ac:dyDescent="0.35">
      <c r="A52">
        <v>21</v>
      </c>
      <c r="B52">
        <f>AVERAGEIF(Table5[Category],E3,Table5[Unit_Price])</f>
        <v>11757.142857142857</v>
      </c>
    </row>
    <row r="53" spans="1:2" x14ac:dyDescent="0.35">
      <c r="A53">
        <v>22</v>
      </c>
      <c r="B53" t="s">
        <v>197</v>
      </c>
    </row>
    <row r="54" spans="1:2" x14ac:dyDescent="0.35">
      <c r="A54">
        <v>23</v>
      </c>
      <c r="B54">
        <f>MAX(Table5[Sales_Channel],G31,Table5[Discount])</f>
        <v>2000</v>
      </c>
    </row>
    <row r="55" spans="1:2" x14ac:dyDescent="0.35">
      <c r="A55">
        <v>24</v>
      </c>
      <c r="B55">
        <f>SUM(Table5[Shipping_Cost])</f>
        <v>6370</v>
      </c>
    </row>
    <row r="56" spans="1:2" x14ac:dyDescent="0.35">
      <c r="A56">
        <v>25</v>
      </c>
      <c r="B56">
        <f>AVERAGEIF(Table5[Payment_Mode],M30,Table5[6,ORDER VALUE])</f>
        <v>13321.428571428571</v>
      </c>
    </row>
    <row r="57" spans="1:2" x14ac:dyDescent="0.35">
      <c r="A57">
        <v>26</v>
      </c>
      <c r="B57">
        <f>COUNTIFS(Table5[Sales_Channel],G30,Table5[State],D27)</f>
        <v>6</v>
      </c>
    </row>
    <row r="58" spans="1:2" x14ac:dyDescent="0.35">
      <c r="A58">
        <v>27</v>
      </c>
      <c r="B58">
        <f>COUNTIFS(Table5[Category],E29,Table5[State],D27)</f>
        <v>3</v>
      </c>
    </row>
    <row r="59" spans="1:2" x14ac:dyDescent="0.35">
      <c r="A59">
        <v>28</v>
      </c>
      <c r="B59">
        <f>_xlfn.MINIFS(Table5[6,ORDER VALUE],Table5[Category],E31)</f>
        <v>3800</v>
      </c>
    </row>
    <row r="60" spans="1:2" x14ac:dyDescent="0.35">
      <c r="A60">
        <v>29</v>
      </c>
      <c r="B60">
        <f>AVERAGEIFS(Table5[6,ORDER VALUE],Table5[Customer_Segment],L5,Table5[Category],E30)</f>
        <v>5742.8571428571431</v>
      </c>
    </row>
    <row r="61" spans="1:2" x14ac:dyDescent="0.35">
      <c r="A61">
        <v>30</v>
      </c>
      <c r="B61" t="s">
        <v>197</v>
      </c>
    </row>
  </sheetData>
  <phoneticPr fontId="10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QUESTIONS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sadnan adiyattil</cp:lastModifiedBy>
  <cp:revision>0</cp:revision>
  <dcterms:created xsi:type="dcterms:W3CDTF">2026-07-29T02:10:46Z</dcterms:created>
  <dcterms:modified xsi:type="dcterms:W3CDTF">2026-09-18T08:02:49Z</dcterms:modified>
  <dc:language>en-US</dc:language>
</cp:coreProperties>
</file>
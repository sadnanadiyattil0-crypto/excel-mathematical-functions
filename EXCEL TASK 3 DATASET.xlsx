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b8b5c635fbe98b/Desktop/data analyisis/"/>
    </mc:Choice>
  </mc:AlternateContent>
  <xr:revisionPtr revIDLastSave="16" documentId="8_{7DF67986-2CB4-4653-9ABB-C74F8D7465FA}" xr6:coauthVersionLast="47" xr6:coauthVersionMax="47" xr10:uidLastSave="{FA59A540-D7AB-4322-BFCC-87E92E60AD46}"/>
  <bookViews>
    <workbookView xWindow="-110" yWindow="-110" windowWidth="19420" windowHeight="10300" xr2:uid="{00000000-000D-0000-FFFF-FFFF00000000}"/>
  </bookViews>
  <sheets>
    <sheet name="Medic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N2" i="1"/>
  <c r="Q2" i="1" s="1"/>
  <c r="N3" i="1"/>
  <c r="Q3" i="1" s="1"/>
  <c r="N4" i="1"/>
  <c r="Q4" i="1" s="1"/>
  <c r="N5" i="1"/>
  <c r="Q5" i="1" s="1"/>
  <c r="N6" i="1"/>
  <c r="Q6" i="1" s="1"/>
  <c r="N7" i="1"/>
  <c r="Q7" i="1" s="1"/>
  <c r="N8" i="1"/>
  <c r="Q8" i="1" s="1"/>
  <c r="N9" i="1"/>
  <c r="Q9" i="1" s="1"/>
  <c r="N10" i="1"/>
  <c r="Q10" i="1" s="1"/>
  <c r="N11" i="1"/>
  <c r="Q11" i="1" s="1"/>
  <c r="N12" i="1"/>
  <c r="Q12" i="1" s="1"/>
  <c r="N13" i="1"/>
  <c r="Q13" i="1" s="1"/>
  <c r="N14" i="1"/>
  <c r="Q14" i="1" s="1"/>
  <c r="N15" i="1"/>
  <c r="Q15" i="1" s="1"/>
  <c r="N16" i="1"/>
  <c r="Q16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B28" i="1"/>
  <c r="B26" i="1"/>
  <c r="L2" i="1"/>
  <c r="S2" i="1" s="1"/>
  <c r="L3" i="1"/>
  <c r="S3" i="1" s="1"/>
  <c r="L4" i="1"/>
  <c r="S4" i="1" s="1"/>
  <c r="L5" i="1"/>
  <c r="S5" i="1" s="1"/>
  <c r="L6" i="1"/>
  <c r="S6" i="1" s="1"/>
  <c r="L7" i="1"/>
  <c r="S7" i="1" s="1"/>
  <c r="L8" i="1"/>
  <c r="S8" i="1" s="1"/>
  <c r="L9" i="1"/>
  <c r="S9" i="1" s="1"/>
  <c r="L10" i="1"/>
  <c r="S10" i="1" s="1"/>
  <c r="L11" i="1"/>
  <c r="S11" i="1" s="1"/>
  <c r="L12" i="1"/>
  <c r="S12" i="1" s="1"/>
  <c r="L13" i="1"/>
  <c r="S13" i="1" s="1"/>
  <c r="L14" i="1"/>
  <c r="S14" i="1" s="1"/>
  <c r="L15" i="1"/>
  <c r="S15" i="1" s="1"/>
  <c r="L16" i="1"/>
  <c r="S16" i="1" s="1"/>
  <c r="B25" i="1"/>
  <c r="B24" i="1"/>
  <c r="B23" i="1"/>
  <c r="B22" i="1"/>
  <c r="B21" i="1"/>
</calcChain>
</file>

<file path=xl/sharedStrings.xml><?xml version="1.0" encoding="utf-8"?>
<sst xmlns="http://schemas.openxmlformats.org/spreadsheetml/2006/main" count="106" uniqueCount="54">
  <si>
    <t>Patient_ID</t>
  </si>
  <si>
    <t>Patient_Name</t>
  </si>
  <si>
    <t>Age</t>
  </si>
  <si>
    <t>Gender</t>
  </si>
  <si>
    <t>Department</t>
  </si>
  <si>
    <t>Treatment_Days</t>
  </si>
  <si>
    <t>Medication_Cost</t>
  </si>
  <si>
    <t>Lab_Cost</t>
  </si>
  <si>
    <t>Room_Cost_Per_Day</t>
  </si>
  <si>
    <t>Insurance_Covered</t>
  </si>
  <si>
    <t>Follow_Up_Required</t>
  </si>
  <si>
    <t>Aisha</t>
  </si>
  <si>
    <t>Rahul</t>
  </si>
  <si>
    <t>Meera</t>
  </si>
  <si>
    <t>Arjun</t>
  </si>
  <si>
    <t>Fathima</t>
  </si>
  <si>
    <t>Nikhil</t>
  </si>
  <si>
    <t>Ananya</t>
  </si>
  <si>
    <t>Vivek</t>
  </si>
  <si>
    <t>Sara</t>
  </si>
  <si>
    <t>Rohan</t>
  </si>
  <si>
    <t>Diya</t>
  </si>
  <si>
    <t>Adil</t>
  </si>
  <si>
    <t>Neha</t>
  </si>
  <si>
    <t>Kiran</t>
  </si>
  <si>
    <t>Maya</t>
  </si>
  <si>
    <t>Female</t>
  </si>
  <si>
    <t>Male</t>
  </si>
  <si>
    <t>Cardiology</t>
  </si>
  <si>
    <t>Orthopedics</t>
  </si>
  <si>
    <t>Pediatrics</t>
  </si>
  <si>
    <t>Neurology</t>
  </si>
  <si>
    <t>General Medicine</t>
  </si>
  <si>
    <t>Yes</t>
  </si>
  <si>
    <t>No</t>
  </si>
  <si>
    <t>ANSWER</t>
  </si>
  <si>
    <t>Q:NO</t>
  </si>
  <si>
    <t>PATIENT COST</t>
  </si>
  <si>
    <t xml:space="preserve">total room cost </t>
  </si>
  <si>
    <t>age categary</t>
  </si>
  <si>
    <t>long teratment</t>
  </si>
  <si>
    <t xml:space="preserve"> medication cost</t>
  </si>
  <si>
    <t>priority pationts</t>
  </si>
  <si>
    <t>special attention</t>
  </si>
  <si>
    <t>insurance benefit</t>
  </si>
  <si>
    <t>impotrent pationt</t>
  </si>
  <si>
    <t>Column1</t>
  </si>
  <si>
    <t>q:no</t>
  </si>
  <si>
    <t>TASK 3</t>
  </si>
  <si>
    <t>TASK 4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</si>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</sst>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171A0C-6401-4DBD-8873-E82113FDC16D}" name="Table1" displayName="Table1" ref="A1:T16" totalsRowShown="0" headerRowDxfId="24" headerRowBorderDxfId="23" tableBorderDxfId="22" totalsRowBorderDxfId="21">
  <autoFilter ref="A1:T16" xr:uid="{97171A0C-6401-4DBD-8873-E82113FDC16D}"/>
  <tableColumns count="20">
    <tableColumn id="1" xr3:uid="{A4BCC17B-6775-467A-AB3E-A928DB49FDBA}" name="Patient_ID" dataDxfId="20"/>
    <tableColumn id="2" xr3:uid="{69C801D8-85B6-42F4-9D13-57F4F1A9B958}" name="Patient_Name" dataDxfId="19"/>
    <tableColumn id="3" xr3:uid="{DADD704E-A727-43F8-B76D-9E7C087EE30B}" name="Age" dataDxfId="18"/>
    <tableColumn id="4" xr3:uid="{74E65B21-EDD8-4BF5-B825-4BBB940FA08A}" name="Gender" dataDxfId="17"/>
    <tableColumn id="5" xr3:uid="{D32A61AE-3DD1-4F2D-9649-6609DA9E1030}" name="Department" dataDxfId="16"/>
    <tableColumn id="6" xr3:uid="{0F13787D-FB05-471A-93F0-C590A611C982}" name="Treatment_Days" dataDxfId="15"/>
    <tableColumn id="7" xr3:uid="{45667ED5-CA4F-4811-9221-D5DFF4946E56}" name="Medication_Cost" dataDxfId="14"/>
    <tableColumn id="8" xr3:uid="{19C40645-336A-48A1-886F-0C177158BFAA}" name="Lab_Cost" dataDxfId="13"/>
    <tableColumn id="9" xr3:uid="{AB25E06E-ABC0-4310-B625-BB2E831DB24D}" name="Room_Cost_Per_Day" dataDxfId="12"/>
    <tableColumn id="10" xr3:uid="{B71116AA-3C6E-4C61-BFAD-962DC90F66EA}" name="Insurance_Covered" dataDxfId="11"/>
    <tableColumn id="11" xr3:uid="{44F1C3BC-695D-4428-9F9A-5430B1F820CD}" name="Follow_Up_Required" dataDxfId="10"/>
    <tableColumn id="12" xr3:uid="{943EBA09-104F-46DD-9402-AA241E2C341D}" name="PATIENT COST" dataDxfId="9">
      <calculatedColumnFormula>SUM(Table1[[#This Row],[Medication_Cost]],Table1[[#This Row],[Lab_Cost]],Table1[[#This Row],[Room_Cost_Per_Day]])</calculatedColumnFormula>
    </tableColumn>
    <tableColumn id="13" xr3:uid="{98FBE009-8E96-4BF9-B554-4AB98AD4ECFC}" name="total room cost " dataDxfId="8">
      <calculatedColumnFormula>Table1[[#This Row],[Room_Cost_Per_Day]]*Table1[[#This Row],[Treatment_Days]]</calculatedColumnFormula>
    </tableColumn>
    <tableColumn id="14" xr3:uid="{D18969CD-9C3D-4934-A9E2-E9B1B2DE8577}" name="age categary" dataDxfId="7">
      <calculatedColumnFormula>IF(Table1[[#This Row],[Age]]&gt;60,"senior citizen","adult")</calculatedColumnFormula>
    </tableColumn>
    <tableColumn id="15" xr3:uid="{E40F3576-B875-4739-B361-B2C4FF2266B5}" name="long teratment" dataDxfId="6">
      <calculatedColumnFormula>IF(Table1[[#This Row],[Treatment_Days]]&gt;7,"long treatment","short treatment")</calculatedColumnFormula>
    </tableColumn>
    <tableColumn id="16" xr3:uid="{78A1AC81-07B3-46FD-9AE1-45D432DD91E6}" name=" medication cost" dataDxfId="5">
      <calculatedColumnFormula>IF(Table1[[#This Row],[Medication_Cost]]&gt;3000,"high medication cost","normal medication cost")</calculatedColumnFormula>
    </tableColumn>
    <tableColumn id="17" xr3:uid="{432699AB-3C7A-4CBF-8B4E-47E3EACE3BEA}" name="priority pationts" dataDxfId="4">
      <calculatedColumnFormula>IF(AND(Table1[[#This Row],[age categary]]="adult",Table1[[#This Row],[Treatment_Days]]&gt;7),"priority pationts"," non primery")</calculatedColumnFormula>
    </tableColumn>
    <tableColumn id="18" xr3:uid="{F4028F0F-1EEE-450A-AEF5-1DD6B479EE0E}" name="special attention" dataDxfId="3">
      <calculatedColumnFormula>IF(OR(Table1[[#This Row],[Age]]&lt;30,Table1[[#This Row],[Treatment_Days]]&gt;10),"special attantion","not attention")</calculatedColumnFormula>
    </tableColumn>
    <tableColumn id="19" xr3:uid="{A85E1DE8-DB71-4E04-8BF0-93711FECCF47}" name="insurance benefit" dataDxfId="2">
      <calculatedColumnFormula>IF(AND(Table1[[#This Row],[Insurance_Covered]]="Yes",Table1[[#This Row],[PATIENT COST]]&gt;=10000),"insured","not insured")</calculatedColumnFormula>
    </tableColumn>
    <tableColumn id="20" xr3:uid="{528FC53D-8341-43C9-ABAE-EC8F68DF82D5}" name="impotrent pationt" dataDxfId="1">
      <calculatedColumnFormula>IF(OR(Table1[[#This Row],[Follow_Up_Required]]="Yes",Table1[[#This Row],[Treatment_Days]]&gt;10),"yes","no")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927935-485F-42CD-8392-5D5DEF004C33}" name="Table2" displayName="Table2" ref="A20:B30" totalsRowShown="0">
  <autoFilter ref="A20:B30" xr:uid="{9E927935-485F-42CD-8392-5D5DEF004C33}"/>
  <tableColumns count="2">
    <tableColumn id="1" xr3:uid="{903596A6-942E-45FB-86C8-FBAD2AEA077A}" name="Q:NO"/>
    <tableColumn id="2" xr3:uid="{632040F1-2E31-43A4-8764-35515A6416D0}" name="ANSWER" dataDxfId="0">
      <calculatedColumnFormula>MAX(Table1[Age])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33DDE6-343A-44D1-9108-49B36714B758}" name="Table5" displayName="Table5" ref="D20:E40" totalsRowShown="0">
  <autoFilter ref="D20:E40" xr:uid="{7833DDE6-343A-44D1-9108-49B36714B758}"/>
  <tableColumns count="2">
    <tableColumn id="1" xr3:uid="{7C2420C2-2B12-4373-83FA-D9AA6E677049}" name="q:no"/>
    <tableColumn id="2" xr3:uid="{2459793E-0489-4A81-9483-A997343BFE4A}" name="ANSW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topLeftCell="A22" zoomScale="98" zoomScaleNormal="98" workbookViewId="0">
      <selection activeCell="E41" sqref="E41"/>
    </sheetView>
  </sheetViews>
  <sheetFormatPr defaultRowHeight="14.5" x14ac:dyDescent="0.35"/>
  <cols>
    <col min="1" max="1" width="11.7265625" customWidth="1"/>
    <col min="2" max="2" width="14.81640625" customWidth="1"/>
    <col min="4" max="4" width="10.36328125" customWidth="1"/>
    <col min="5" max="5" width="13.08984375" customWidth="1"/>
    <col min="6" max="6" width="16.7265625" customWidth="1"/>
    <col min="7" max="7" width="17" customWidth="1"/>
    <col min="8" max="8" width="10.453125" customWidth="1"/>
    <col min="9" max="9" width="20.453125" customWidth="1"/>
    <col min="10" max="10" width="18.90625" customWidth="1"/>
    <col min="11" max="11" width="20.1796875" customWidth="1"/>
    <col min="12" max="12" width="16.6328125" customWidth="1"/>
    <col min="13" max="13" width="17.1796875" customWidth="1"/>
    <col min="14" max="14" width="16.54296875" customWidth="1"/>
    <col min="15" max="15" width="15.36328125" customWidth="1"/>
    <col min="16" max="16" width="20" customWidth="1"/>
    <col min="17" max="17" width="17.453125" customWidth="1"/>
    <col min="18" max="18" width="14.54296875" customWidth="1"/>
    <col min="19" max="19" width="22.7265625" customWidth="1"/>
    <col min="20" max="20" width="14.1796875" customWidth="1"/>
  </cols>
  <sheetData>
    <row r="1" spans="1:20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</row>
    <row r="2" spans="1:20" x14ac:dyDescent="0.35">
      <c r="A2" s="4">
        <v>1001</v>
      </c>
      <c r="B2" s="5" t="s">
        <v>11</v>
      </c>
      <c r="C2" s="5">
        <v>34</v>
      </c>
      <c r="D2" s="5" t="s">
        <v>26</v>
      </c>
      <c r="E2" s="5" t="s">
        <v>28</v>
      </c>
      <c r="F2" s="5">
        <v>5</v>
      </c>
      <c r="G2" s="5">
        <v>1200</v>
      </c>
      <c r="H2" s="5">
        <v>800</v>
      </c>
      <c r="I2" s="5">
        <v>1500</v>
      </c>
      <c r="J2" s="5" t="s">
        <v>33</v>
      </c>
      <c r="K2" s="6" t="s">
        <v>33</v>
      </c>
      <c r="L2" s="10">
        <f>SUM(Table1[[#This Row],[Medication_Cost]],Table1[[#This Row],[Lab_Cost]],Table1[[#This Row],[Room_Cost_Per_Day]])</f>
        <v>3500</v>
      </c>
      <c r="M2" s="10">
        <f>Table1[[#This Row],[Room_Cost_Per_Day]]*Table1[[#This Row],[Treatment_Days]]</f>
        <v>7500</v>
      </c>
      <c r="N2" s="10" t="str">
        <f>IF(Table1[[#This Row],[Age]]&gt;60,"senior citizen","adult")</f>
        <v>adult</v>
      </c>
      <c r="O2" s="10" t="str">
        <f>IF(Table1[[#This Row],[Treatment_Days]]&gt;7,"long treatment","short treatment")</f>
        <v>short treatment</v>
      </c>
      <c r="P2" s="10" t="str">
        <f>IF(Table1[[#This Row],[Medication_Cost]]&gt;3000,"high medication cost","normal medication cost")</f>
        <v>normal medication cost</v>
      </c>
      <c r="Q2" s="10" t="str">
        <f>IF(AND(Table1[[#This Row],[age categary]]="adult",Table1[[#This Row],[Treatment_Days]]&gt;7),"priority pationts"," non primery")</f>
        <v xml:space="preserve"> non primery</v>
      </c>
      <c r="R2" s="10" t="str">
        <f>IF(OR(Table1[[#This Row],[Age]]&lt;30,Table1[[#This Row],[Treatment_Days]]&gt;10),"special attantion","not attention")</f>
        <v>not attention</v>
      </c>
      <c r="S2" s="10" t="str">
        <f>IF(AND(Table1[[#This Row],[Insurance_Covered]]="Yes",Table1[[#This Row],[PATIENT COST]]&gt;=10000),"insured","not insured")</f>
        <v>not insured</v>
      </c>
      <c r="T2" s="10" t="str">
        <f>IF(OR(Table1[[#This Row],[Follow_Up_Required]]="Yes",Table1[[#This Row],[Treatment_Days]]&gt;10),"yes","no")</f>
        <v>yes</v>
      </c>
    </row>
    <row r="3" spans="1:20" x14ac:dyDescent="0.35">
      <c r="A3" s="4">
        <v>1002</v>
      </c>
      <c r="B3" s="5" t="s">
        <v>12</v>
      </c>
      <c r="C3" s="5">
        <v>52</v>
      </c>
      <c r="D3" s="5" t="s">
        <v>27</v>
      </c>
      <c r="E3" s="5" t="s">
        <v>29</v>
      </c>
      <c r="F3" s="5">
        <v>8</v>
      </c>
      <c r="G3" s="5">
        <v>2500</v>
      </c>
      <c r="H3" s="5">
        <v>1400</v>
      </c>
      <c r="I3" s="5">
        <v>1800</v>
      </c>
      <c r="J3" s="5" t="s">
        <v>33</v>
      </c>
      <c r="K3" s="6" t="s">
        <v>34</v>
      </c>
      <c r="L3" s="5">
        <f>SUM(Table1[[#This Row],[Medication_Cost]],Table1[[#This Row],[Lab_Cost]],Table1[[#This Row],[Room_Cost_Per_Day]])</f>
        <v>5700</v>
      </c>
      <c r="M3" s="5">
        <f>Table1[[#This Row],[Room_Cost_Per_Day]]*Table1[[#This Row],[Treatment_Days]]</f>
        <v>14400</v>
      </c>
      <c r="N3" s="5" t="str">
        <f>IF(Table1[[#This Row],[Age]]&gt;60,"senior citizen","adult")</f>
        <v>adult</v>
      </c>
      <c r="O3" s="5" t="str">
        <f>IF(Table1[[#This Row],[Treatment_Days]]&gt;7,"long treatment","short treatment")</f>
        <v>long treatment</v>
      </c>
      <c r="P3" s="5" t="str">
        <f>IF(Table1[[#This Row],[Medication_Cost]]&gt;3000,"high medication cost","normal medication cost")</f>
        <v>normal medication cost</v>
      </c>
      <c r="Q3" s="5" t="str">
        <f>IF(AND(Table1[[#This Row],[age categary]]="adult",Table1[[#This Row],[Treatment_Days]]&gt;7),"priority pationts"," non primery")</f>
        <v>priority pationts</v>
      </c>
      <c r="R3" s="5" t="str">
        <f>IF(OR(Table1[[#This Row],[Age]]&lt;30,Table1[[#This Row],[Treatment_Days]]&gt;10),"special attantion","not attention")</f>
        <v>not attention</v>
      </c>
      <c r="S3" s="5" t="str">
        <f>IF(AND(Table1[[#This Row],[Insurance_Covered]]="Yes",Table1[[#This Row],[PATIENT COST]]&gt;=10000),"insured","not insured")</f>
        <v>not insured</v>
      </c>
      <c r="T3" s="5" t="str">
        <f>IF(OR(Table1[[#This Row],[Follow_Up_Required]]="Yes",Table1[[#This Row],[Treatment_Days]]&gt;10),"yes","no")</f>
        <v>no</v>
      </c>
    </row>
    <row r="4" spans="1:20" x14ac:dyDescent="0.35">
      <c r="A4" s="4">
        <v>1003</v>
      </c>
      <c r="B4" s="5" t="s">
        <v>13</v>
      </c>
      <c r="C4" s="5">
        <v>27</v>
      </c>
      <c r="D4" s="5" t="s">
        <v>26</v>
      </c>
      <c r="E4" s="5" t="s">
        <v>30</v>
      </c>
      <c r="F4" s="5">
        <v>3</v>
      </c>
      <c r="G4" s="5">
        <v>900</v>
      </c>
      <c r="H4" s="5">
        <v>500</v>
      </c>
      <c r="I4" s="5">
        <v>1200</v>
      </c>
      <c r="J4" s="5" t="s">
        <v>34</v>
      </c>
      <c r="K4" s="6" t="s">
        <v>33</v>
      </c>
      <c r="L4" s="5">
        <f>SUM(Table1[[#This Row],[Medication_Cost]],Table1[[#This Row],[Lab_Cost]],Table1[[#This Row],[Room_Cost_Per_Day]])</f>
        <v>2600</v>
      </c>
      <c r="M4" s="5">
        <f>Table1[[#This Row],[Room_Cost_Per_Day]]*Table1[[#This Row],[Treatment_Days]]</f>
        <v>3600</v>
      </c>
      <c r="N4" s="5" t="str">
        <f>IF(Table1[[#This Row],[Age]]&gt;60,"senior citizen","adult")</f>
        <v>adult</v>
      </c>
      <c r="O4" s="5" t="str">
        <f>IF(Table1[[#This Row],[Treatment_Days]]&gt;7,"long treatment","short treatment")</f>
        <v>short treatment</v>
      </c>
      <c r="P4" s="5" t="str">
        <f>IF(Table1[[#This Row],[Medication_Cost]]&gt;3000,"high medication cost","normal medication cost")</f>
        <v>normal medication cost</v>
      </c>
      <c r="Q4" s="5" t="str">
        <f>IF(AND(Table1[[#This Row],[age categary]]="adult",Table1[[#This Row],[Treatment_Days]]&gt;7),"priority pationts"," non primery")</f>
        <v xml:space="preserve"> non primery</v>
      </c>
      <c r="R4" s="5" t="str">
        <f>IF(OR(Table1[[#This Row],[Age]]&lt;30,Table1[[#This Row],[Treatment_Days]]&gt;10),"special attantion","not attention")</f>
        <v>special attantion</v>
      </c>
      <c r="S4" s="5" t="str">
        <f>IF(AND(Table1[[#This Row],[Insurance_Covered]]="Yes",Table1[[#This Row],[PATIENT COST]]&gt;=10000),"insured","not insured")</f>
        <v>not insured</v>
      </c>
      <c r="T4" s="5" t="str">
        <f>IF(OR(Table1[[#This Row],[Follow_Up_Required]]="Yes",Table1[[#This Row],[Treatment_Days]]&gt;10),"yes","no")</f>
        <v>yes</v>
      </c>
    </row>
    <row r="5" spans="1:20" x14ac:dyDescent="0.35">
      <c r="A5" s="4">
        <v>1004</v>
      </c>
      <c r="B5" s="5" t="s">
        <v>14</v>
      </c>
      <c r="C5" s="5">
        <v>68</v>
      </c>
      <c r="D5" s="5" t="s">
        <v>27</v>
      </c>
      <c r="E5" s="5" t="s">
        <v>28</v>
      </c>
      <c r="F5" s="5">
        <v>12</v>
      </c>
      <c r="G5" s="5">
        <v>4800</v>
      </c>
      <c r="H5" s="5">
        <v>2200</v>
      </c>
      <c r="I5" s="5">
        <v>2500</v>
      </c>
      <c r="J5" s="5" t="s">
        <v>33</v>
      </c>
      <c r="K5" s="6" t="s">
        <v>33</v>
      </c>
      <c r="L5" s="5">
        <f>SUM(Table1[[#This Row],[Medication_Cost]],Table1[[#This Row],[Lab_Cost]],Table1[[#This Row],[Room_Cost_Per_Day]])</f>
        <v>9500</v>
      </c>
      <c r="M5" s="5">
        <f>Table1[[#This Row],[Room_Cost_Per_Day]]*Table1[[#This Row],[Treatment_Days]]</f>
        <v>30000</v>
      </c>
      <c r="N5" s="5" t="str">
        <f>IF(Table1[[#This Row],[Age]]&gt;60,"senior citizen","adult")</f>
        <v>senior citizen</v>
      </c>
      <c r="O5" s="5" t="str">
        <f>IF(Table1[[#This Row],[Treatment_Days]]&gt;7,"long treatment","short treatment")</f>
        <v>long treatment</v>
      </c>
      <c r="P5" s="5" t="str">
        <f>IF(Table1[[#This Row],[Medication_Cost]]&gt;3000,"high medication cost","normal medication cost")</f>
        <v>high medication cost</v>
      </c>
      <c r="Q5" s="5" t="str">
        <f>IF(AND(Table1[[#This Row],[age categary]]="adult",Table1[[#This Row],[Treatment_Days]]&gt;7),"priority pationts"," non primery")</f>
        <v xml:space="preserve"> non primery</v>
      </c>
      <c r="R5" s="5" t="str">
        <f>IF(OR(Table1[[#This Row],[Age]]&lt;30,Table1[[#This Row],[Treatment_Days]]&gt;10),"special attantion","not attention")</f>
        <v>special attantion</v>
      </c>
      <c r="S5" s="5" t="str">
        <f>IF(AND(Table1[[#This Row],[Insurance_Covered]]="Yes",Table1[[#This Row],[PATIENT COST]]&gt;=10000),"insured","not insured")</f>
        <v>not insured</v>
      </c>
      <c r="T5" s="5" t="str">
        <f>IF(OR(Table1[[#This Row],[Follow_Up_Required]]="Yes",Table1[[#This Row],[Treatment_Days]]&gt;10),"yes","no")</f>
        <v>yes</v>
      </c>
    </row>
    <row r="6" spans="1:20" x14ac:dyDescent="0.35">
      <c r="A6" s="4">
        <v>1005</v>
      </c>
      <c r="B6" s="5" t="s">
        <v>15</v>
      </c>
      <c r="C6" s="5">
        <v>45</v>
      </c>
      <c r="D6" s="5" t="s">
        <v>26</v>
      </c>
      <c r="E6" s="5" t="s">
        <v>31</v>
      </c>
      <c r="F6" s="5">
        <v>7</v>
      </c>
      <c r="G6" s="5">
        <v>3200</v>
      </c>
      <c r="H6" s="5">
        <v>1600</v>
      </c>
      <c r="I6" s="5">
        <v>2000</v>
      </c>
      <c r="J6" s="5" t="s">
        <v>33</v>
      </c>
      <c r="K6" s="6" t="s">
        <v>34</v>
      </c>
      <c r="L6" s="5">
        <f>SUM(Table1[[#This Row],[Medication_Cost]],Table1[[#This Row],[Lab_Cost]],Table1[[#This Row],[Room_Cost_Per_Day]])</f>
        <v>6800</v>
      </c>
      <c r="M6" s="5">
        <f>Table1[[#This Row],[Room_Cost_Per_Day]]*Table1[[#This Row],[Treatment_Days]]</f>
        <v>14000</v>
      </c>
      <c r="N6" s="5" t="str">
        <f>IF(Table1[[#This Row],[Age]]&gt;60,"senior citizen","adult")</f>
        <v>adult</v>
      </c>
      <c r="O6" s="5" t="str">
        <f>IF(Table1[[#This Row],[Treatment_Days]]&gt;7,"long treatment","short treatment")</f>
        <v>short treatment</v>
      </c>
      <c r="P6" s="5" t="str">
        <f>IF(Table1[[#This Row],[Medication_Cost]]&gt;3000,"high medication cost","normal medication cost")</f>
        <v>high medication cost</v>
      </c>
      <c r="Q6" s="5" t="str">
        <f>IF(AND(Table1[[#This Row],[age categary]]="adult",Table1[[#This Row],[Treatment_Days]]&gt;7),"priority pationts"," non primery")</f>
        <v xml:space="preserve"> non primery</v>
      </c>
      <c r="R6" s="5" t="str">
        <f>IF(OR(Table1[[#This Row],[Age]]&lt;30,Table1[[#This Row],[Treatment_Days]]&gt;10),"special attantion","not attention")</f>
        <v>not attention</v>
      </c>
      <c r="S6" s="5" t="str">
        <f>IF(AND(Table1[[#This Row],[Insurance_Covered]]="Yes",Table1[[#This Row],[PATIENT COST]]&gt;=10000),"insured","not insured")</f>
        <v>not insured</v>
      </c>
      <c r="T6" s="5" t="str">
        <f>IF(OR(Table1[[#This Row],[Follow_Up_Required]]="Yes",Table1[[#This Row],[Treatment_Days]]&gt;10),"yes","no")</f>
        <v>no</v>
      </c>
    </row>
    <row r="7" spans="1:20" x14ac:dyDescent="0.35">
      <c r="A7" s="4">
        <v>1006</v>
      </c>
      <c r="B7" s="5" t="s">
        <v>16</v>
      </c>
      <c r="C7" s="5">
        <v>39</v>
      </c>
      <c r="D7" s="5" t="s">
        <v>27</v>
      </c>
      <c r="E7" s="5" t="s">
        <v>32</v>
      </c>
      <c r="F7" s="5">
        <v>4</v>
      </c>
      <c r="G7" s="5">
        <v>1500</v>
      </c>
      <c r="H7" s="5">
        <v>700</v>
      </c>
      <c r="I7" s="5">
        <v>1400</v>
      </c>
      <c r="J7" s="5" t="s">
        <v>34</v>
      </c>
      <c r="K7" s="6" t="s">
        <v>33</v>
      </c>
      <c r="L7" s="5">
        <f>SUM(Table1[[#This Row],[Medication_Cost]],Table1[[#This Row],[Lab_Cost]],Table1[[#This Row],[Room_Cost_Per_Day]])</f>
        <v>3600</v>
      </c>
      <c r="M7" s="5">
        <f>Table1[[#This Row],[Room_Cost_Per_Day]]*Table1[[#This Row],[Treatment_Days]]</f>
        <v>5600</v>
      </c>
      <c r="N7" s="5" t="str">
        <f>IF(Table1[[#This Row],[Age]]&gt;60,"senior citizen","adult")</f>
        <v>adult</v>
      </c>
      <c r="O7" s="5" t="str">
        <f>IF(Table1[[#This Row],[Treatment_Days]]&gt;7,"long treatment","short treatment")</f>
        <v>short treatment</v>
      </c>
      <c r="P7" s="5" t="str">
        <f>IF(Table1[[#This Row],[Medication_Cost]]&gt;3000,"high medication cost","normal medication cost")</f>
        <v>normal medication cost</v>
      </c>
      <c r="Q7" s="5" t="str">
        <f>IF(AND(Table1[[#This Row],[age categary]]="adult",Table1[[#This Row],[Treatment_Days]]&gt;7),"priority pationts"," non primery")</f>
        <v xml:space="preserve"> non primery</v>
      </c>
      <c r="R7" s="5" t="str">
        <f>IF(OR(Table1[[#This Row],[Age]]&lt;30,Table1[[#This Row],[Treatment_Days]]&gt;10),"special attantion","not attention")</f>
        <v>not attention</v>
      </c>
      <c r="S7" s="5" t="str">
        <f>IF(AND(Table1[[#This Row],[Insurance_Covered]]="Yes",Table1[[#This Row],[PATIENT COST]]&gt;=10000),"insured","not insured")</f>
        <v>not insured</v>
      </c>
      <c r="T7" s="5" t="str">
        <f>IF(OR(Table1[[#This Row],[Follow_Up_Required]]="Yes",Table1[[#This Row],[Treatment_Days]]&gt;10),"yes","no")</f>
        <v>yes</v>
      </c>
    </row>
    <row r="8" spans="1:20" x14ac:dyDescent="0.35">
      <c r="A8" s="4">
        <v>1007</v>
      </c>
      <c r="B8" s="5" t="s">
        <v>17</v>
      </c>
      <c r="C8" s="5">
        <v>61</v>
      </c>
      <c r="D8" s="5" t="s">
        <v>26</v>
      </c>
      <c r="E8" s="5" t="s">
        <v>29</v>
      </c>
      <c r="F8" s="5">
        <v>10</v>
      </c>
      <c r="G8" s="5">
        <v>3600</v>
      </c>
      <c r="H8" s="5">
        <v>1800</v>
      </c>
      <c r="I8" s="5">
        <v>2200</v>
      </c>
      <c r="J8" s="5" t="s">
        <v>33</v>
      </c>
      <c r="K8" s="6" t="s">
        <v>34</v>
      </c>
      <c r="L8" s="5">
        <f>SUM(Table1[[#This Row],[Medication_Cost]],Table1[[#This Row],[Lab_Cost]],Table1[[#This Row],[Room_Cost_Per_Day]])</f>
        <v>7600</v>
      </c>
      <c r="M8" s="5">
        <f>Table1[[#This Row],[Room_Cost_Per_Day]]*Table1[[#This Row],[Treatment_Days]]</f>
        <v>22000</v>
      </c>
      <c r="N8" s="5" t="str">
        <f>IF(Table1[[#This Row],[Age]]&gt;60,"senior citizen","adult")</f>
        <v>senior citizen</v>
      </c>
      <c r="O8" s="5" t="str">
        <f>IF(Table1[[#This Row],[Treatment_Days]]&gt;7,"long treatment","short treatment")</f>
        <v>long treatment</v>
      </c>
      <c r="P8" s="5" t="str">
        <f>IF(Table1[[#This Row],[Medication_Cost]]&gt;3000,"high medication cost","normal medication cost")</f>
        <v>high medication cost</v>
      </c>
      <c r="Q8" s="5" t="str">
        <f>IF(AND(Table1[[#This Row],[age categary]]="adult",Table1[[#This Row],[Treatment_Days]]&gt;7),"priority pationts"," non primery")</f>
        <v xml:space="preserve"> non primery</v>
      </c>
      <c r="R8" s="5" t="str">
        <f>IF(OR(Table1[[#This Row],[Age]]&lt;30,Table1[[#This Row],[Treatment_Days]]&gt;10),"special attantion","not attention")</f>
        <v>not attention</v>
      </c>
      <c r="S8" s="5" t="str">
        <f>IF(AND(Table1[[#This Row],[Insurance_Covered]]="Yes",Table1[[#This Row],[PATIENT COST]]&gt;=10000),"insured","not insured")</f>
        <v>not insured</v>
      </c>
      <c r="T8" s="5" t="str">
        <f>IF(OR(Table1[[#This Row],[Follow_Up_Required]]="Yes",Table1[[#This Row],[Treatment_Days]]&gt;10),"yes","no")</f>
        <v>no</v>
      </c>
    </row>
    <row r="9" spans="1:20" x14ac:dyDescent="0.35">
      <c r="A9" s="4">
        <v>1008</v>
      </c>
      <c r="B9" s="5" t="s">
        <v>18</v>
      </c>
      <c r="C9" s="5">
        <v>23</v>
      </c>
      <c r="D9" s="5" t="s">
        <v>27</v>
      </c>
      <c r="E9" s="5" t="s">
        <v>30</v>
      </c>
      <c r="F9" s="5">
        <v>2</v>
      </c>
      <c r="G9" s="5">
        <v>700</v>
      </c>
      <c r="H9" s="5">
        <v>400</v>
      </c>
      <c r="I9" s="5">
        <v>1000</v>
      </c>
      <c r="J9" s="5" t="s">
        <v>34</v>
      </c>
      <c r="K9" s="6" t="s">
        <v>33</v>
      </c>
      <c r="L9" s="5">
        <f>SUM(Table1[[#This Row],[Medication_Cost]],Table1[[#This Row],[Lab_Cost]],Table1[[#This Row],[Room_Cost_Per_Day]])</f>
        <v>2100</v>
      </c>
      <c r="M9" s="5">
        <f>Table1[[#This Row],[Room_Cost_Per_Day]]*Table1[[#This Row],[Treatment_Days]]</f>
        <v>2000</v>
      </c>
      <c r="N9" s="5" t="str">
        <f>IF(Table1[[#This Row],[Age]]&gt;60,"senior citizen","adult")</f>
        <v>adult</v>
      </c>
      <c r="O9" s="5" t="str">
        <f>IF(Table1[[#This Row],[Treatment_Days]]&gt;7,"long treatment","short treatment")</f>
        <v>short treatment</v>
      </c>
      <c r="P9" s="5" t="str">
        <f>IF(Table1[[#This Row],[Medication_Cost]]&gt;3000,"high medication cost","normal medication cost")</f>
        <v>normal medication cost</v>
      </c>
      <c r="Q9" s="5" t="str">
        <f>IF(AND(Table1[[#This Row],[age categary]]="adult",Table1[[#This Row],[Treatment_Days]]&gt;7),"priority pationts"," non primery")</f>
        <v xml:space="preserve"> non primery</v>
      </c>
      <c r="R9" s="5" t="str">
        <f>IF(OR(Table1[[#This Row],[Age]]&lt;30,Table1[[#This Row],[Treatment_Days]]&gt;10),"special attantion","not attention")</f>
        <v>special attantion</v>
      </c>
      <c r="S9" s="5" t="str">
        <f>IF(AND(Table1[[#This Row],[Insurance_Covered]]="Yes",Table1[[#This Row],[PATIENT COST]]&gt;=10000),"insured","not insured")</f>
        <v>not insured</v>
      </c>
      <c r="T9" s="5" t="str">
        <f>IF(OR(Table1[[#This Row],[Follow_Up_Required]]="Yes",Table1[[#This Row],[Treatment_Days]]&gt;10),"yes","no")</f>
        <v>yes</v>
      </c>
    </row>
    <row r="10" spans="1:20" x14ac:dyDescent="0.35">
      <c r="A10" s="4">
        <v>1009</v>
      </c>
      <c r="B10" s="5" t="s">
        <v>19</v>
      </c>
      <c r="C10" s="5">
        <v>57</v>
      </c>
      <c r="D10" s="5" t="s">
        <v>26</v>
      </c>
      <c r="E10" s="5" t="s">
        <v>28</v>
      </c>
      <c r="F10" s="5">
        <v>9</v>
      </c>
      <c r="G10" s="5">
        <v>4100</v>
      </c>
      <c r="H10" s="5">
        <v>2100</v>
      </c>
      <c r="I10" s="5">
        <v>2300</v>
      </c>
      <c r="J10" s="5" t="s">
        <v>33</v>
      </c>
      <c r="K10" s="6" t="s">
        <v>33</v>
      </c>
      <c r="L10" s="5">
        <f>SUM(Table1[[#This Row],[Medication_Cost]],Table1[[#This Row],[Lab_Cost]],Table1[[#This Row],[Room_Cost_Per_Day]])</f>
        <v>8500</v>
      </c>
      <c r="M10" s="5">
        <f>Table1[[#This Row],[Room_Cost_Per_Day]]*Table1[[#This Row],[Treatment_Days]]</f>
        <v>20700</v>
      </c>
      <c r="N10" s="5" t="str">
        <f>IF(Table1[[#This Row],[Age]]&gt;60,"senior citizen","adult")</f>
        <v>adult</v>
      </c>
      <c r="O10" s="5" t="str">
        <f>IF(Table1[[#This Row],[Treatment_Days]]&gt;7,"long treatment","short treatment")</f>
        <v>long treatment</v>
      </c>
      <c r="P10" s="5" t="str">
        <f>IF(Table1[[#This Row],[Medication_Cost]]&gt;3000,"high medication cost","normal medication cost")</f>
        <v>high medication cost</v>
      </c>
      <c r="Q10" s="5" t="str">
        <f>IF(AND(Table1[[#This Row],[age categary]]="adult",Table1[[#This Row],[Treatment_Days]]&gt;7),"priority pationts"," non primery")</f>
        <v>priority pationts</v>
      </c>
      <c r="R10" s="5" t="str">
        <f>IF(OR(Table1[[#This Row],[Age]]&lt;30,Table1[[#This Row],[Treatment_Days]]&gt;10),"special attantion","not attention")</f>
        <v>not attention</v>
      </c>
      <c r="S10" s="5" t="str">
        <f>IF(AND(Table1[[#This Row],[Insurance_Covered]]="Yes",Table1[[#This Row],[PATIENT COST]]&gt;=10000),"insured","not insured")</f>
        <v>not insured</v>
      </c>
      <c r="T10" s="5" t="str">
        <f>IF(OR(Table1[[#This Row],[Follow_Up_Required]]="Yes",Table1[[#This Row],[Treatment_Days]]&gt;10),"yes","no")</f>
        <v>yes</v>
      </c>
    </row>
    <row r="11" spans="1:20" x14ac:dyDescent="0.35">
      <c r="A11" s="4">
        <v>1010</v>
      </c>
      <c r="B11" s="5" t="s">
        <v>20</v>
      </c>
      <c r="C11" s="5">
        <v>72</v>
      </c>
      <c r="D11" s="5" t="s">
        <v>27</v>
      </c>
      <c r="E11" s="5" t="s">
        <v>31</v>
      </c>
      <c r="F11" s="5">
        <v>14</v>
      </c>
      <c r="G11" s="5">
        <v>5200</v>
      </c>
      <c r="H11" s="5">
        <v>2600</v>
      </c>
      <c r="I11" s="5">
        <v>2800</v>
      </c>
      <c r="J11" s="5" t="s">
        <v>33</v>
      </c>
      <c r="K11" s="6" t="s">
        <v>33</v>
      </c>
      <c r="L11" s="5">
        <f>SUM(Table1[[#This Row],[Medication_Cost]],Table1[[#This Row],[Lab_Cost]],Table1[[#This Row],[Room_Cost_Per_Day]])</f>
        <v>10600</v>
      </c>
      <c r="M11" s="5">
        <f>Table1[[#This Row],[Room_Cost_Per_Day]]*Table1[[#This Row],[Treatment_Days]]</f>
        <v>39200</v>
      </c>
      <c r="N11" s="5" t="str">
        <f>IF(Table1[[#This Row],[Age]]&gt;60,"senior citizen","adult")</f>
        <v>senior citizen</v>
      </c>
      <c r="O11" s="5" t="str">
        <f>IF(Table1[[#This Row],[Treatment_Days]]&gt;7,"long treatment","short treatment")</f>
        <v>long treatment</v>
      </c>
      <c r="P11" s="5" t="str">
        <f>IF(Table1[[#This Row],[Medication_Cost]]&gt;3000,"high medication cost","normal medication cost")</f>
        <v>high medication cost</v>
      </c>
      <c r="Q11" s="5" t="str">
        <f>IF(AND(Table1[[#This Row],[age categary]]="adult",Table1[[#This Row],[Treatment_Days]]&gt;7),"priority pationts"," non primery")</f>
        <v xml:space="preserve"> non primery</v>
      </c>
      <c r="R11" s="5" t="str">
        <f>IF(OR(Table1[[#This Row],[Age]]&lt;30,Table1[[#This Row],[Treatment_Days]]&gt;10),"special attantion","not attention")</f>
        <v>special attantion</v>
      </c>
      <c r="S11" s="5" t="str">
        <f>IF(AND(Table1[[#This Row],[Insurance_Covered]]="Yes",Table1[[#This Row],[PATIENT COST]]&gt;=10000),"insured","not insured")</f>
        <v>insured</v>
      </c>
      <c r="T11" s="5" t="str">
        <f>IF(OR(Table1[[#This Row],[Follow_Up_Required]]="Yes",Table1[[#This Row],[Treatment_Days]]&gt;10),"yes","no")</f>
        <v>yes</v>
      </c>
    </row>
    <row r="12" spans="1:20" x14ac:dyDescent="0.35">
      <c r="A12" s="4">
        <v>1011</v>
      </c>
      <c r="B12" s="5" t="s">
        <v>21</v>
      </c>
      <c r="C12" s="5">
        <v>31</v>
      </c>
      <c r="D12" s="5" t="s">
        <v>26</v>
      </c>
      <c r="E12" s="5" t="s">
        <v>32</v>
      </c>
      <c r="F12" s="5">
        <v>6</v>
      </c>
      <c r="G12" s="5">
        <v>1800</v>
      </c>
      <c r="H12" s="5">
        <v>900</v>
      </c>
      <c r="I12" s="5">
        <v>1300</v>
      </c>
      <c r="J12" s="5" t="s">
        <v>34</v>
      </c>
      <c r="K12" s="6" t="s">
        <v>34</v>
      </c>
      <c r="L12" s="5">
        <f>SUM(Table1[[#This Row],[Medication_Cost]],Table1[[#This Row],[Lab_Cost]],Table1[[#This Row],[Room_Cost_Per_Day]])</f>
        <v>4000</v>
      </c>
      <c r="M12" s="5">
        <f>Table1[[#This Row],[Room_Cost_Per_Day]]*Table1[[#This Row],[Treatment_Days]]</f>
        <v>7800</v>
      </c>
      <c r="N12" s="5" t="str">
        <f>IF(Table1[[#This Row],[Age]]&gt;60,"senior citizen","adult")</f>
        <v>adult</v>
      </c>
      <c r="O12" s="5" t="str">
        <f>IF(Table1[[#This Row],[Treatment_Days]]&gt;7,"long treatment","short treatment")</f>
        <v>short treatment</v>
      </c>
      <c r="P12" s="5" t="str">
        <f>IF(Table1[[#This Row],[Medication_Cost]]&gt;3000,"high medication cost","normal medication cost")</f>
        <v>normal medication cost</v>
      </c>
      <c r="Q12" s="5" t="str">
        <f>IF(AND(Table1[[#This Row],[age categary]]="adult",Table1[[#This Row],[Treatment_Days]]&gt;7),"priority pationts"," non primery")</f>
        <v xml:space="preserve"> non primery</v>
      </c>
      <c r="R12" s="5" t="str">
        <f>IF(OR(Table1[[#This Row],[Age]]&lt;30,Table1[[#This Row],[Treatment_Days]]&gt;10),"special attantion","not attention")</f>
        <v>not attention</v>
      </c>
      <c r="S12" s="5" t="str">
        <f>IF(AND(Table1[[#This Row],[Insurance_Covered]]="Yes",Table1[[#This Row],[PATIENT COST]]&gt;=10000),"insured","not insured")</f>
        <v>not insured</v>
      </c>
      <c r="T12" s="5" t="str">
        <f>IF(OR(Table1[[#This Row],[Follow_Up_Required]]="Yes",Table1[[#This Row],[Treatment_Days]]&gt;10),"yes","no")</f>
        <v>no</v>
      </c>
    </row>
    <row r="13" spans="1:20" x14ac:dyDescent="0.35">
      <c r="A13" s="4">
        <v>1012</v>
      </c>
      <c r="B13" s="5" t="s">
        <v>22</v>
      </c>
      <c r="C13" s="5">
        <v>48</v>
      </c>
      <c r="D13" s="5" t="s">
        <v>27</v>
      </c>
      <c r="E13" s="5" t="s">
        <v>28</v>
      </c>
      <c r="F13" s="5">
        <v>11</v>
      </c>
      <c r="G13" s="5">
        <v>4500</v>
      </c>
      <c r="H13" s="5">
        <v>1900</v>
      </c>
      <c r="I13" s="5">
        <v>2400</v>
      </c>
      <c r="J13" s="5" t="s">
        <v>33</v>
      </c>
      <c r="K13" s="6" t="s">
        <v>33</v>
      </c>
      <c r="L13" s="5">
        <f>SUM(Table1[[#This Row],[Medication_Cost]],Table1[[#This Row],[Lab_Cost]],Table1[[#This Row],[Room_Cost_Per_Day]])</f>
        <v>8800</v>
      </c>
      <c r="M13" s="5">
        <f>Table1[[#This Row],[Room_Cost_Per_Day]]*Table1[[#This Row],[Treatment_Days]]</f>
        <v>26400</v>
      </c>
      <c r="N13" s="5" t="str">
        <f>IF(Table1[[#This Row],[Age]]&gt;60,"senior citizen","adult")</f>
        <v>adult</v>
      </c>
      <c r="O13" s="5" t="str">
        <f>IF(Table1[[#This Row],[Treatment_Days]]&gt;7,"long treatment","short treatment")</f>
        <v>long treatment</v>
      </c>
      <c r="P13" s="5" t="str">
        <f>IF(Table1[[#This Row],[Medication_Cost]]&gt;3000,"high medication cost","normal medication cost")</f>
        <v>high medication cost</v>
      </c>
      <c r="Q13" s="5" t="str">
        <f>IF(AND(Table1[[#This Row],[age categary]]="adult",Table1[[#This Row],[Treatment_Days]]&gt;7),"priority pationts"," non primery")</f>
        <v>priority pationts</v>
      </c>
      <c r="R13" s="5" t="str">
        <f>IF(OR(Table1[[#This Row],[Age]]&lt;30,Table1[[#This Row],[Treatment_Days]]&gt;10),"special attantion","not attention")</f>
        <v>special attantion</v>
      </c>
      <c r="S13" s="5" t="str">
        <f>IF(AND(Table1[[#This Row],[Insurance_Covered]]="Yes",Table1[[#This Row],[PATIENT COST]]&gt;=10000),"insured","not insured")</f>
        <v>not insured</v>
      </c>
      <c r="T13" s="5" t="str">
        <f>IF(OR(Table1[[#This Row],[Follow_Up_Required]]="Yes",Table1[[#This Row],[Treatment_Days]]&gt;10),"yes","no")</f>
        <v>yes</v>
      </c>
    </row>
    <row r="14" spans="1:20" x14ac:dyDescent="0.35">
      <c r="A14" s="4">
        <v>1013</v>
      </c>
      <c r="B14" s="5" t="s">
        <v>23</v>
      </c>
      <c r="C14" s="5">
        <v>66</v>
      </c>
      <c r="D14" s="5" t="s">
        <v>26</v>
      </c>
      <c r="E14" s="5" t="s">
        <v>29</v>
      </c>
      <c r="F14" s="5">
        <v>13</v>
      </c>
      <c r="G14" s="5">
        <v>3900</v>
      </c>
      <c r="H14" s="5">
        <v>2300</v>
      </c>
      <c r="I14" s="5">
        <v>2100</v>
      </c>
      <c r="J14" s="5" t="s">
        <v>33</v>
      </c>
      <c r="K14" s="6" t="s">
        <v>34</v>
      </c>
      <c r="L14" s="5">
        <f>SUM(Table1[[#This Row],[Medication_Cost]],Table1[[#This Row],[Lab_Cost]],Table1[[#This Row],[Room_Cost_Per_Day]])</f>
        <v>8300</v>
      </c>
      <c r="M14" s="5">
        <f>Table1[[#This Row],[Room_Cost_Per_Day]]*Table1[[#This Row],[Treatment_Days]]</f>
        <v>27300</v>
      </c>
      <c r="N14" s="5" t="str">
        <f>IF(Table1[[#This Row],[Age]]&gt;60,"senior citizen","adult")</f>
        <v>senior citizen</v>
      </c>
      <c r="O14" s="5" t="str">
        <f>IF(Table1[[#This Row],[Treatment_Days]]&gt;7,"long treatment","short treatment")</f>
        <v>long treatment</v>
      </c>
      <c r="P14" s="5" t="str">
        <f>IF(Table1[[#This Row],[Medication_Cost]]&gt;3000,"high medication cost","normal medication cost")</f>
        <v>high medication cost</v>
      </c>
      <c r="Q14" s="5" t="str">
        <f>IF(AND(Table1[[#This Row],[age categary]]="adult",Table1[[#This Row],[Treatment_Days]]&gt;7),"priority pationts"," non primery")</f>
        <v xml:space="preserve"> non primery</v>
      </c>
      <c r="R14" s="5" t="str">
        <f>IF(OR(Table1[[#This Row],[Age]]&lt;30,Table1[[#This Row],[Treatment_Days]]&gt;10),"special attantion","not attention")</f>
        <v>special attantion</v>
      </c>
      <c r="S14" s="5" t="str">
        <f>IF(AND(Table1[[#This Row],[Insurance_Covered]]="Yes",Table1[[#This Row],[PATIENT COST]]&gt;=10000),"insured","not insured")</f>
        <v>not insured</v>
      </c>
      <c r="T14" s="5" t="str">
        <f>IF(OR(Table1[[#This Row],[Follow_Up_Required]]="Yes",Table1[[#This Row],[Treatment_Days]]&gt;10),"yes","no")</f>
        <v>yes</v>
      </c>
    </row>
    <row r="15" spans="1:20" x14ac:dyDescent="0.35">
      <c r="A15" s="4">
        <v>1014</v>
      </c>
      <c r="B15" s="5" t="s">
        <v>24</v>
      </c>
      <c r="C15" s="5">
        <v>29</v>
      </c>
      <c r="D15" s="5" t="s">
        <v>27</v>
      </c>
      <c r="E15" s="5" t="s">
        <v>32</v>
      </c>
      <c r="F15" s="5">
        <v>3</v>
      </c>
      <c r="G15" s="5">
        <v>1100</v>
      </c>
      <c r="H15" s="5">
        <v>600</v>
      </c>
      <c r="I15" s="5">
        <v>1100</v>
      </c>
      <c r="J15" s="5" t="s">
        <v>34</v>
      </c>
      <c r="K15" s="6" t="s">
        <v>34</v>
      </c>
      <c r="L15" s="5">
        <f>SUM(Table1[[#This Row],[Medication_Cost]],Table1[[#This Row],[Lab_Cost]],Table1[[#This Row],[Room_Cost_Per_Day]])</f>
        <v>2800</v>
      </c>
      <c r="M15" s="5">
        <f>Table1[[#This Row],[Room_Cost_Per_Day]]*Table1[[#This Row],[Treatment_Days]]</f>
        <v>3300</v>
      </c>
      <c r="N15" s="5" t="str">
        <f>IF(Table1[[#This Row],[Age]]&gt;60,"senior citizen","adult")</f>
        <v>adult</v>
      </c>
      <c r="O15" s="5" t="str">
        <f>IF(Table1[[#This Row],[Treatment_Days]]&gt;7,"long treatment","short treatment")</f>
        <v>short treatment</v>
      </c>
      <c r="P15" s="5" t="str">
        <f>IF(Table1[[#This Row],[Medication_Cost]]&gt;3000,"high medication cost","normal medication cost")</f>
        <v>normal medication cost</v>
      </c>
      <c r="Q15" s="5" t="str">
        <f>IF(AND(Table1[[#This Row],[age categary]]="adult",Table1[[#This Row],[Treatment_Days]]&gt;7),"priority pationts"," non primery")</f>
        <v xml:space="preserve"> non primery</v>
      </c>
      <c r="R15" s="5" t="str">
        <f>IF(OR(Table1[[#This Row],[Age]]&lt;30,Table1[[#This Row],[Treatment_Days]]&gt;10),"special attantion","not attention")</f>
        <v>special attantion</v>
      </c>
      <c r="S15" s="5" t="str">
        <f>IF(AND(Table1[[#This Row],[Insurance_Covered]]="Yes",Table1[[#This Row],[PATIENT COST]]&gt;=10000),"insured","not insured")</f>
        <v>not insured</v>
      </c>
      <c r="T15" s="5" t="str">
        <f>IF(OR(Table1[[#This Row],[Follow_Up_Required]]="Yes",Table1[[#This Row],[Treatment_Days]]&gt;10),"yes","no")</f>
        <v>no</v>
      </c>
    </row>
    <row r="16" spans="1:20" x14ac:dyDescent="0.35">
      <c r="A16" s="7">
        <v>1015</v>
      </c>
      <c r="B16" s="8" t="s">
        <v>25</v>
      </c>
      <c r="C16" s="8">
        <v>54</v>
      </c>
      <c r="D16" s="8" t="s">
        <v>26</v>
      </c>
      <c r="E16" s="8" t="s">
        <v>31</v>
      </c>
      <c r="F16" s="8">
        <v>8</v>
      </c>
      <c r="G16" s="8">
        <v>2800</v>
      </c>
      <c r="H16" s="8">
        <v>1500</v>
      </c>
      <c r="I16" s="8">
        <v>1900</v>
      </c>
      <c r="J16" s="8" t="s">
        <v>33</v>
      </c>
      <c r="K16" s="9" t="s">
        <v>33</v>
      </c>
      <c r="L16" s="8">
        <f>SUM(Table1[[#This Row],[Medication_Cost]],Table1[[#This Row],[Lab_Cost]],Table1[[#This Row],[Room_Cost_Per_Day]])</f>
        <v>6200</v>
      </c>
      <c r="M16" s="8">
        <f>Table1[[#This Row],[Room_Cost_Per_Day]]*Table1[[#This Row],[Treatment_Days]]</f>
        <v>15200</v>
      </c>
      <c r="N16" s="8" t="str">
        <f>IF(Table1[[#This Row],[Age]]&gt;60,"senior citizen","adult")</f>
        <v>adult</v>
      </c>
      <c r="O16" s="8" t="str">
        <f>IF(Table1[[#This Row],[Treatment_Days]]&gt;7,"long treatment","short treatment")</f>
        <v>long treatment</v>
      </c>
      <c r="P16" s="8" t="str">
        <f>IF(Table1[[#This Row],[Medication_Cost]]&gt;3000,"high medication cost","normal medication cost")</f>
        <v>normal medication cost</v>
      </c>
      <c r="Q16" s="8" t="str">
        <f>IF(AND(Table1[[#This Row],[age categary]]="adult",Table1[[#This Row],[Treatment_Days]]&gt;7),"priority pationts"," non primery")</f>
        <v>priority pationts</v>
      </c>
      <c r="R16" s="8" t="str">
        <f>IF(OR(Table1[[#This Row],[Age]]&lt;30,Table1[[#This Row],[Treatment_Days]]&gt;10),"special attantion","not attention")</f>
        <v>not attention</v>
      </c>
      <c r="S16" s="8" t="str">
        <f>IF(AND(Table1[[#This Row],[Insurance_Covered]]="Yes",Table1[[#This Row],[PATIENT COST]]&gt;=10000),"insured","not insured")</f>
        <v>not insured</v>
      </c>
      <c r="T16" s="8" t="str">
        <f>IF(OR(Table1[[#This Row],[Follow_Up_Required]]="Yes",Table1[[#This Row],[Treatment_Days]]&gt;10),"yes","no")</f>
        <v>yes</v>
      </c>
    </row>
    <row r="19" spans="1:5" x14ac:dyDescent="0.35">
      <c r="A19" s="12" t="s">
        <v>48</v>
      </c>
      <c r="B19" s="12"/>
      <c r="D19" s="11" t="s">
        <v>49</v>
      </c>
      <c r="E19" s="11"/>
    </row>
    <row r="20" spans="1:5" x14ac:dyDescent="0.35">
      <c r="A20" t="s">
        <v>36</v>
      </c>
      <c r="B20" t="s">
        <v>35</v>
      </c>
      <c r="D20" t="s">
        <v>47</v>
      </c>
      <c r="E20" t="s">
        <v>35</v>
      </c>
    </row>
    <row r="21" spans="1:5" x14ac:dyDescent="0.35">
      <c r="A21">
        <v>1</v>
      </c>
      <c r="B21">
        <f>MAX(C2:C17)</f>
        <v>72</v>
      </c>
      <c r="D21">
        <v>1</v>
      </c>
      <c r="E21">
        <f>SUMIF(Table1[Department],E2,Table1[Medication_Cost])</f>
        <v>14600</v>
      </c>
    </row>
    <row r="22" spans="1:5" x14ac:dyDescent="0.35">
      <c r="A22">
        <v>2</v>
      </c>
      <c r="B22">
        <f>MIN(Table1[Treatment_Days])</f>
        <v>2</v>
      </c>
      <c r="D22">
        <v>2</v>
      </c>
      <c r="E22">
        <f>SUMIF(Table1[Insurance_Covered],J2,Table1[Lab_Cost])</f>
        <v>18200</v>
      </c>
    </row>
    <row r="23" spans="1:5" x14ac:dyDescent="0.35">
      <c r="A23">
        <v>3</v>
      </c>
      <c r="B23">
        <f>MAX(Table1[Treatment_Days])</f>
        <v>14</v>
      </c>
      <c r="D23">
        <v>3</v>
      </c>
      <c r="E23">
        <f>SUMIF(Table1[Gender],D2,Table1[Treatment_Days])</f>
        <v>61</v>
      </c>
    </row>
    <row r="24" spans="1:5" x14ac:dyDescent="0.35">
      <c r="A24">
        <v>4</v>
      </c>
      <c r="B24">
        <f>SUM(Table1[Medication_Cost])</f>
        <v>41800</v>
      </c>
      <c r="D24">
        <v>4</v>
      </c>
      <c r="E24">
        <f>AVERAGEIF(Table1[Department],E2,Table1[Age])</f>
        <v>51.75</v>
      </c>
    </row>
    <row r="25" spans="1:5" x14ac:dyDescent="0.35">
      <c r="A25">
        <v>5</v>
      </c>
      <c r="B25">
        <f>SUM(Table1[Lab_Cost])</f>
        <v>21300</v>
      </c>
      <c r="D25">
        <v>5</v>
      </c>
      <c r="E25">
        <f>AVERAGEIF(Table1[Insurance_Covered],J2,Table1[Treatment_Days])</f>
        <v>9.6999999999999993</v>
      </c>
    </row>
    <row r="26" spans="1:5" x14ac:dyDescent="0.35">
      <c r="A26">
        <v>8</v>
      </c>
      <c r="B26">
        <f>COUNTA(Table1[Patient_Name])</f>
        <v>15</v>
      </c>
      <c r="D26">
        <v>6</v>
      </c>
      <c r="E26">
        <f>AVERAGEIF(Table1[Gender],D2,Table1[Medication_Cost])</f>
        <v>2687.5</v>
      </c>
    </row>
    <row r="27" spans="1:5" x14ac:dyDescent="0.35">
      <c r="A27">
        <v>9</v>
      </c>
      <c r="B27">
        <v>4</v>
      </c>
      <c r="D27">
        <v>7</v>
      </c>
      <c r="E27">
        <f>COUNTIF(Table1[Department],E2)</f>
        <v>4</v>
      </c>
    </row>
    <row r="28" spans="1:5" x14ac:dyDescent="0.35">
      <c r="A28">
        <v>10</v>
      </c>
      <c r="B28">
        <f>COUNTIF(Table1[Insurance_Covered],"Yes")</f>
        <v>10</v>
      </c>
      <c r="D28">
        <v>8</v>
      </c>
      <c r="E28">
        <f>COUNTIF(Table1[Insurance_Covered],J3)</f>
        <v>10</v>
      </c>
    </row>
    <row r="29" spans="1:5" x14ac:dyDescent="0.35">
      <c r="D29">
        <v>9</v>
      </c>
      <c r="E29">
        <f>COUNTIF(Table1[Follow_Up_Required],K2)</f>
        <v>9</v>
      </c>
    </row>
    <row r="30" spans="1:5" x14ac:dyDescent="0.35">
      <c r="D30">
        <v>10</v>
      </c>
      <c r="E30">
        <f>SUMIFS(Table1[Medication_Cost],Table1[Gender],D2,Table1[Department],E2)</f>
        <v>5300</v>
      </c>
    </row>
    <row r="31" spans="1:5" x14ac:dyDescent="0.35">
      <c r="D31">
        <v>11</v>
      </c>
      <c r="E31">
        <f>SUMIFS(Table1[Lab_Cost],Table1[Insurance_Covered],J2,Table1[Follow_Up_Required],K2)</f>
        <v>11100</v>
      </c>
    </row>
    <row r="32" spans="1:5" x14ac:dyDescent="0.35">
      <c r="D32">
        <v>12</v>
      </c>
      <c r="E32">
        <f>SUMIFS(Table1[Treatment_Days],Table1[Gender],D3,Table1[Department],E3)</f>
        <v>8</v>
      </c>
    </row>
    <row r="33" spans="4:5" x14ac:dyDescent="0.35">
      <c r="D33">
        <v>13</v>
      </c>
      <c r="E33">
        <f>COUNTIFS(Table1[Gender],D2,Table1[Department],E2)</f>
        <v>2</v>
      </c>
    </row>
    <row r="34" spans="4:5" x14ac:dyDescent="0.35">
      <c r="D34">
        <v>14</v>
      </c>
      <c r="E34">
        <f>COUNTIFS(Table1[Insurance_Covered],J2,Table1[Follow_Up_Required],K2)</f>
        <v>6</v>
      </c>
    </row>
    <row r="35" spans="4:5" x14ac:dyDescent="0.35">
      <c r="D35">
        <v>15</v>
      </c>
      <c r="E35">
        <f>COUNTIFS(Table1[Department],E16,Table1[Treatment_Days],"&gt;7")</f>
        <v>2</v>
      </c>
    </row>
    <row r="36" spans="4:5" x14ac:dyDescent="0.35">
      <c r="D36">
        <v>16</v>
      </c>
      <c r="E36">
        <f>AVERAGEIFS(Table1[Medication_Cost],Table1[Gender],D2,Table1[Department],E2)</f>
        <v>2650</v>
      </c>
    </row>
    <row r="37" spans="4:5" x14ac:dyDescent="0.35">
      <c r="D37">
        <v>17</v>
      </c>
      <c r="E37" s="13">
        <f>AVERAGEIFS(Table1[Treatment_Days],Table1[Insurance_Covered],J2,Table1[Follow_Up_Required],K2)</f>
        <v>9.8333333333333339</v>
      </c>
    </row>
    <row r="38" spans="4:5" x14ac:dyDescent="0.35">
      <c r="D38">
        <v>18</v>
      </c>
      <c r="E38">
        <f>_xlfn.MAXIFS(Table1[Medication_Cost],Table1[Department],E5)</f>
        <v>4800</v>
      </c>
    </row>
    <row r="39" spans="4:5" x14ac:dyDescent="0.35">
      <c r="D39">
        <v>19</v>
      </c>
      <c r="E39">
        <f>_xlfn.MAXIFS(Table1[Treatment_Days],Table1[Insurance_Covered],J2)</f>
        <v>14</v>
      </c>
    </row>
    <row r="40" spans="4:5" x14ac:dyDescent="0.35">
      <c r="D40">
        <v>20</v>
      </c>
      <c r="E40">
        <f>_xlfn.MINIFS(Table1[Medication_Cost],Table1[Department],E4)</f>
        <v>700</v>
      </c>
    </row>
  </sheetData>
  <mergeCells count="2">
    <mergeCell ref="D19:E19"/>
    <mergeCell ref="A19:B19"/>
  </mergeCells>
  <pageMargins left="0.7" right="0.7" top="0.75" bottom="0.75" header="0.3" footer="0.3"/>
  <pageSetup orientation="portrait" horizontalDpi="1200" verticalDpi="120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sadnan adiyattil</cp:lastModifiedBy>
  <dcterms:created xsi:type="dcterms:W3CDTF">2026-09-08T06:03:13Z</dcterms:created>
  <dcterms:modified xsi:type="dcterms:W3CDTF">2026-09-09T07:30:44Z</dcterms:modified>
</cp:coreProperties>
</file>